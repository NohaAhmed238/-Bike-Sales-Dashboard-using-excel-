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hidePivotFieldList="1" defaultThemeVersion="166925"/>
  <mc:AlternateContent xmlns:mc="http://schemas.openxmlformats.org/markup-compatibility/2006">
    <mc:Choice Requires="x15">
      <x15ac:absPath xmlns:x15ac="http://schemas.microsoft.com/office/spreadsheetml/2010/11/ac" url="F:\data analysis\"/>
    </mc:Choice>
  </mc:AlternateContent>
  <xr:revisionPtr revIDLastSave="0" documentId="13_ncr:1_{2ED2E120-C71B-4515-B290-3651CFFD77F8}" xr6:coauthVersionLast="47" xr6:coauthVersionMax="47" xr10:uidLastSave="{00000000-0000-0000-0000-000000000000}"/>
  <bookViews>
    <workbookView xWindow="-108" yWindow="-108" windowWidth="23256" windowHeight="12456" firstSheet="1" activeTab="8" xr2:uid="{00000000-000D-0000-FFFF-FFFF00000000}"/>
  </bookViews>
  <sheets>
    <sheet name="Sheet1" sheetId="2" r:id="rId1"/>
    <sheet name="Sheet2" sheetId="3" r:id="rId2"/>
    <sheet name="Sheet3" sheetId="4" r:id="rId3"/>
    <sheet name="Sheet5" sheetId="6" r:id="rId4"/>
    <sheet name="Sheet6" sheetId="7" r:id="rId5"/>
    <sheet name="Sheet9" sheetId="10" r:id="rId6"/>
    <sheet name="Sheet7" sheetId="11" r:id="rId7"/>
    <sheet name="Sales Data" sheetId="1" r:id="rId8"/>
    <sheet name="Dashboard" sheetId="14" r:id="rId9"/>
  </sheets>
  <definedNames>
    <definedName name="Slicer_category_by_colour">#N/A</definedName>
    <definedName name="Slicer_Sub_Category">#N/A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Q29" i="1"/>
  <c r="Q39" i="1"/>
  <c r="Q55" i="1"/>
  <c r="Q65" i="1"/>
  <c r="Q72" i="1"/>
  <c r="Q73" i="1"/>
  <c r="Q74" i="1"/>
  <c r="Q89" i="1"/>
  <c r="Q104" i="1"/>
  <c r="Q105" i="1"/>
  <c r="Q106" i="1"/>
  <c r="Q135" i="1"/>
  <c r="Q136" i="1"/>
  <c r="Q137" i="1"/>
  <c r="Q145" i="1"/>
  <c r="Q157" i="1"/>
  <c r="Q158" i="1"/>
  <c r="Q184" i="1"/>
  <c r="Q185" i="1"/>
  <c r="Q200" i="1"/>
  <c r="Q201" i="1"/>
  <c r="Q202" i="1"/>
  <c r="Q209" i="1"/>
  <c r="Q247" i="1"/>
  <c r="Q248" i="1"/>
  <c r="Q249" i="1"/>
  <c r="Q253" i="1"/>
  <c r="Q254" i="1"/>
  <c r="Q263" i="1"/>
  <c r="Q264" i="1"/>
  <c r="Q282" i="1"/>
  <c r="Q312" i="1"/>
  <c r="Q313" i="1"/>
  <c r="Q343" i="1"/>
  <c r="Q344" i="1"/>
  <c r="Q345" i="1"/>
  <c r="Q349" i="1"/>
  <c r="Q357" i="1"/>
  <c r="Q358" i="1"/>
  <c r="Q375" i="1"/>
  <c r="Q393" i="1"/>
  <c r="Q397" i="1"/>
  <c r="Q398" i="1"/>
  <c r="Q422" i="1"/>
  <c r="Q423" i="1"/>
  <c r="Q455" i="1"/>
  <c r="Q456" i="1"/>
  <c r="Q457" i="1"/>
  <c r="Q471" i="1"/>
  <c r="Q472" i="1"/>
  <c r="Q473" i="1"/>
  <c r="Q493" i="1"/>
  <c r="Q494" i="1"/>
  <c r="Q495" i="1"/>
  <c r="Q520" i="1"/>
  <c r="Q521" i="1"/>
  <c r="Q522" i="1"/>
  <c r="Q551" i="1"/>
  <c r="Q561" i="1"/>
  <c r="Q567" i="1"/>
  <c r="Q568" i="1"/>
  <c r="Q574" i="1"/>
  <c r="Q584" i="1"/>
  <c r="Q599" i="1"/>
  <c r="Q615" i="1"/>
  <c r="Q616" i="1"/>
  <c r="Q617" i="1"/>
  <c r="Q618" i="1"/>
  <c r="Q663" i="1"/>
  <c r="Q664" i="1"/>
  <c r="Q665" i="1"/>
  <c r="Q666" i="1"/>
  <c r="Q679" i="1"/>
  <c r="Q680" i="1"/>
  <c r="Q681" i="1"/>
  <c r="Q697" i="1"/>
  <c r="Q703" i="1"/>
  <c r="Q704" i="1"/>
  <c r="Q712" i="1"/>
  <c r="Q713" i="1"/>
  <c r="O2" i="1"/>
  <c r="P2" i="1"/>
  <c r="P3" i="1"/>
  <c r="P4" i="1"/>
  <c r="P5" i="1"/>
  <c r="P6" i="1"/>
  <c r="P7" i="1"/>
  <c r="P8" i="1"/>
  <c r="P9" i="1"/>
  <c r="P10" i="1"/>
  <c r="P11" i="1"/>
  <c r="P12" i="1"/>
  <c r="P13" i="1"/>
  <c r="P14" i="1"/>
  <c r="P15" i="1"/>
  <c r="P16" i="1"/>
  <c r="P17" i="1"/>
  <c r="P18" i="1"/>
  <c r="P19" i="1"/>
  <c r="P20" i="1"/>
  <c r="P21" i="1"/>
  <c r="P22" i="1"/>
  <c r="P23" i="1"/>
  <c r="Q23" i="1" s="1"/>
  <c r="P24" i="1"/>
  <c r="P25" i="1"/>
  <c r="Q25" i="1" s="1"/>
  <c r="P26" i="1"/>
  <c r="P27" i="1"/>
  <c r="Q27" i="1" s="1"/>
  <c r="P28" i="1"/>
  <c r="P29" i="1"/>
  <c r="P30" i="1"/>
  <c r="P31" i="1"/>
  <c r="P32" i="1"/>
  <c r="P33" i="1"/>
  <c r="P34" i="1"/>
  <c r="P35" i="1"/>
  <c r="P36" i="1"/>
  <c r="Q36" i="1" s="1"/>
  <c r="P37" i="1"/>
  <c r="Q37" i="1" s="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Q75" i="1" s="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Q107" i="1" s="1"/>
  <c r="P108" i="1"/>
  <c r="P109" i="1"/>
  <c r="P110" i="1"/>
  <c r="P111" i="1"/>
  <c r="P112" i="1"/>
  <c r="P113" i="1"/>
  <c r="P114" i="1"/>
  <c r="P115" i="1"/>
  <c r="P116" i="1"/>
  <c r="P117" i="1"/>
  <c r="P118" i="1"/>
  <c r="P119" i="1"/>
  <c r="P120" i="1"/>
  <c r="P121" i="1"/>
  <c r="P122" i="1"/>
  <c r="P123" i="1"/>
  <c r="P124" i="1"/>
  <c r="P125" i="1"/>
  <c r="P126" i="1"/>
  <c r="Q126" i="1" s="1"/>
  <c r="P127" i="1"/>
  <c r="Q127" i="1" s="1"/>
  <c r="P128" i="1"/>
  <c r="Q128" i="1" s="1"/>
  <c r="P129" i="1"/>
  <c r="Q129" i="1" s="1"/>
  <c r="P130" i="1"/>
  <c r="P131" i="1"/>
  <c r="P132" i="1"/>
  <c r="P133" i="1"/>
  <c r="P134" i="1"/>
  <c r="P135" i="1"/>
  <c r="P136" i="1"/>
  <c r="P137" i="1"/>
  <c r="P138" i="1"/>
  <c r="P139" i="1"/>
  <c r="P140" i="1"/>
  <c r="P141" i="1"/>
  <c r="P142" i="1"/>
  <c r="P143" i="1"/>
  <c r="P144" i="1"/>
  <c r="P145" i="1"/>
  <c r="P146" i="1"/>
  <c r="P147" i="1"/>
  <c r="P148" i="1"/>
  <c r="P149" i="1"/>
  <c r="P150" i="1"/>
  <c r="P151" i="1"/>
  <c r="Q151" i="1" s="1"/>
  <c r="P152" i="1"/>
  <c r="P153" i="1"/>
  <c r="Q153" i="1" s="1"/>
  <c r="P154" i="1"/>
  <c r="P155" i="1"/>
  <c r="Q155" i="1" s="1"/>
  <c r="P156" i="1"/>
  <c r="P157" i="1"/>
  <c r="P158" i="1"/>
  <c r="P159" i="1"/>
  <c r="P160" i="1"/>
  <c r="P161" i="1"/>
  <c r="P162" i="1"/>
  <c r="P163" i="1"/>
  <c r="P164" i="1"/>
  <c r="P165" i="1"/>
  <c r="P166" i="1"/>
  <c r="P167" i="1"/>
  <c r="Q167" i="1" s="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Q203" i="1" s="1"/>
  <c r="P204" i="1"/>
  <c r="P205" i="1"/>
  <c r="P206" i="1"/>
  <c r="P207" i="1"/>
  <c r="P208" i="1"/>
  <c r="P209" i="1"/>
  <c r="P210" i="1"/>
  <c r="P211" i="1"/>
  <c r="P212" i="1"/>
  <c r="Q212" i="1" s="1"/>
  <c r="P213" i="1"/>
  <c r="Q213" i="1" s="1"/>
  <c r="P214" i="1"/>
  <c r="P215" i="1"/>
  <c r="P216" i="1"/>
  <c r="P217" i="1"/>
  <c r="P218" i="1"/>
  <c r="P219" i="1"/>
  <c r="P220" i="1"/>
  <c r="P221" i="1"/>
  <c r="P222" i="1"/>
  <c r="P223" i="1"/>
  <c r="P224" i="1"/>
  <c r="P225" i="1"/>
  <c r="P226" i="1"/>
  <c r="P227" i="1"/>
  <c r="P228" i="1"/>
  <c r="P229" i="1"/>
  <c r="P230" i="1"/>
  <c r="P231" i="1"/>
  <c r="P232" i="1"/>
  <c r="P233" i="1"/>
  <c r="P234" i="1"/>
  <c r="P235" i="1"/>
  <c r="Q235" i="1" s="1"/>
  <c r="P236" i="1"/>
  <c r="P237" i="1"/>
  <c r="P238" i="1"/>
  <c r="P239" i="1"/>
  <c r="P240" i="1"/>
  <c r="P241" i="1"/>
  <c r="P242" i="1"/>
  <c r="P243" i="1"/>
  <c r="P244" i="1"/>
  <c r="P245" i="1"/>
  <c r="P246" i="1"/>
  <c r="P247" i="1"/>
  <c r="P248" i="1"/>
  <c r="P249" i="1"/>
  <c r="P250" i="1"/>
  <c r="P251" i="1"/>
  <c r="P252" i="1"/>
  <c r="P253" i="1"/>
  <c r="P254" i="1"/>
  <c r="P255" i="1"/>
  <c r="Q255" i="1" s="1"/>
  <c r="P256" i="1"/>
  <c r="P257" i="1"/>
  <c r="P258" i="1"/>
  <c r="P259" i="1"/>
  <c r="P260" i="1"/>
  <c r="P261" i="1"/>
  <c r="P262" i="1"/>
  <c r="P263" i="1"/>
  <c r="P264" i="1"/>
  <c r="P265" i="1"/>
  <c r="P266" i="1"/>
  <c r="P267" i="1"/>
  <c r="P268" i="1"/>
  <c r="P269" i="1"/>
  <c r="P270" i="1"/>
  <c r="P271" i="1"/>
  <c r="P272" i="1"/>
  <c r="P273" i="1"/>
  <c r="P274" i="1"/>
  <c r="P275" i="1"/>
  <c r="P276" i="1"/>
  <c r="P277" i="1"/>
  <c r="P278" i="1"/>
  <c r="P279" i="1"/>
  <c r="Q279" i="1" s="1"/>
  <c r="P280" i="1"/>
  <c r="P281" i="1"/>
  <c r="Q281" i="1" s="1"/>
  <c r="P282" i="1"/>
  <c r="P283" i="1"/>
  <c r="Q283" i="1" s="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Q311" i="1" s="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Q379" i="1" s="1"/>
  <c r="P380" i="1"/>
  <c r="P381" i="1"/>
  <c r="P382" i="1"/>
  <c r="P383" i="1"/>
  <c r="P384" i="1"/>
  <c r="P385" i="1"/>
  <c r="P386" i="1"/>
  <c r="P387" i="1"/>
  <c r="P388" i="1"/>
  <c r="P389" i="1"/>
  <c r="P390" i="1"/>
  <c r="P391" i="1"/>
  <c r="P392" i="1"/>
  <c r="P393" i="1"/>
  <c r="P394" i="1"/>
  <c r="P395" i="1"/>
  <c r="P396" i="1"/>
  <c r="P397" i="1"/>
  <c r="P398" i="1"/>
  <c r="P399" i="1"/>
  <c r="Q399" i="1" s="1"/>
  <c r="P400" i="1"/>
  <c r="P401" i="1"/>
  <c r="P402" i="1"/>
  <c r="P403" i="1"/>
  <c r="P404" i="1"/>
  <c r="P405" i="1"/>
  <c r="P406" i="1"/>
  <c r="P407" i="1"/>
  <c r="Q407" i="1" s="1"/>
  <c r="P408" i="1"/>
  <c r="P409" i="1"/>
  <c r="Q409" i="1" s="1"/>
  <c r="P410" i="1"/>
  <c r="P411" i="1"/>
  <c r="P412" i="1"/>
  <c r="P413" i="1"/>
  <c r="P414" i="1"/>
  <c r="P415" i="1"/>
  <c r="P416" i="1"/>
  <c r="P417" i="1"/>
  <c r="Q417" i="1" s="1"/>
  <c r="P418" i="1"/>
  <c r="P419" i="1"/>
  <c r="P420" i="1"/>
  <c r="P421" i="1"/>
  <c r="P422" i="1"/>
  <c r="P423" i="1"/>
  <c r="P424" i="1"/>
  <c r="P425" i="1"/>
  <c r="P426" i="1"/>
  <c r="P427" i="1"/>
  <c r="P428" i="1"/>
  <c r="P429" i="1"/>
  <c r="P430" i="1"/>
  <c r="P431" i="1"/>
  <c r="P432" i="1"/>
  <c r="P433" i="1"/>
  <c r="P434" i="1"/>
  <c r="P435" i="1"/>
  <c r="P436" i="1"/>
  <c r="Q436" i="1" s="1"/>
  <c r="P437" i="1"/>
  <c r="Q437" i="1" s="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Q475" i="1" s="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Q503" i="1" s="1"/>
  <c r="P504" i="1"/>
  <c r="P505" i="1"/>
  <c r="Q505" i="1" s="1"/>
  <c r="P506" i="1"/>
  <c r="P507" i="1"/>
  <c r="P508" i="1"/>
  <c r="P509" i="1"/>
  <c r="P510" i="1"/>
  <c r="P511" i="1"/>
  <c r="P512" i="1"/>
  <c r="P513" i="1"/>
  <c r="P514" i="1"/>
  <c r="P515" i="1"/>
  <c r="P516" i="1"/>
  <c r="P517" i="1"/>
  <c r="P518" i="1"/>
  <c r="P519" i="1"/>
  <c r="P520" i="1"/>
  <c r="P521" i="1"/>
  <c r="P522" i="1"/>
  <c r="P523" i="1"/>
  <c r="Q523" i="1" s="1"/>
  <c r="P524" i="1"/>
  <c r="P525" i="1"/>
  <c r="P526" i="1"/>
  <c r="P527" i="1"/>
  <c r="P528" i="1"/>
  <c r="P529" i="1"/>
  <c r="P530" i="1"/>
  <c r="P531" i="1"/>
  <c r="P532" i="1"/>
  <c r="P533" i="1"/>
  <c r="P534" i="1"/>
  <c r="P535" i="1"/>
  <c r="Q535" i="1" s="1"/>
  <c r="P536" i="1"/>
  <c r="P537" i="1"/>
  <c r="Q537" i="1" s="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Q583" i="1" s="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Q619" i="1" s="1"/>
  <c r="P620" i="1"/>
  <c r="P621" i="1"/>
  <c r="P622" i="1"/>
  <c r="P623" i="1"/>
  <c r="P624" i="1"/>
  <c r="P625" i="1"/>
  <c r="P626" i="1"/>
  <c r="P627" i="1"/>
  <c r="P628" i="1"/>
  <c r="P629" i="1"/>
  <c r="P630" i="1"/>
  <c r="P631" i="1"/>
  <c r="P632" i="1"/>
  <c r="P633" i="1"/>
  <c r="P634" i="1"/>
  <c r="P635" i="1"/>
  <c r="P636" i="1"/>
  <c r="P637" i="1"/>
  <c r="Q637" i="1" s="1"/>
  <c r="P638" i="1"/>
  <c r="Q638" i="1" s="1"/>
  <c r="P639" i="1"/>
  <c r="Q639" i="1" s="1"/>
  <c r="P640" i="1"/>
  <c r="P641" i="1"/>
  <c r="P642" i="1"/>
  <c r="P643" i="1"/>
  <c r="P644" i="1"/>
  <c r="P645" i="1"/>
  <c r="P646" i="1"/>
  <c r="P647" i="1"/>
  <c r="P648" i="1"/>
  <c r="P649" i="1"/>
  <c r="Q649" i="1" s="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Q711" i="1" s="1"/>
  <c r="P712" i="1"/>
  <c r="P713" i="1"/>
  <c r="P714" i="1"/>
  <c r="P715" i="1"/>
  <c r="P716" i="1"/>
  <c r="P717" i="1"/>
  <c r="P718" i="1"/>
  <c r="P719" i="1"/>
  <c r="P720" i="1"/>
  <c r="P721" i="1"/>
  <c r="P722" i="1"/>
  <c r="P723" i="1"/>
  <c r="P724" i="1"/>
  <c r="P725" i="1"/>
  <c r="P726" i="1"/>
  <c r="P727" i="1"/>
  <c r="Q727" i="1" s="1"/>
  <c r="P728" i="1"/>
  <c r="P729" i="1"/>
  <c r="Q729" i="1" s="1"/>
  <c r="P730" i="1"/>
  <c r="P731" i="1"/>
  <c r="P732" i="1"/>
  <c r="P733" i="1"/>
  <c r="P734" i="1"/>
  <c r="P735" i="1"/>
  <c r="P736" i="1"/>
  <c r="P737" i="1"/>
  <c r="P738" i="1"/>
  <c r="P739" i="1"/>
  <c r="P740" i="1"/>
  <c r="P741" i="1"/>
  <c r="P742" i="1"/>
  <c r="P743" i="1"/>
  <c r="P744" i="1"/>
  <c r="P745" i="1"/>
  <c r="P746" i="1"/>
  <c r="P747" i="1"/>
  <c r="P748" i="1"/>
  <c r="P749" i="1"/>
  <c r="Q749" i="1" s="1"/>
  <c r="P750" i="1"/>
  <c r="Q750" i="1" s="1"/>
  <c r="P751" i="1"/>
  <c r="Q751" i="1" s="1"/>
  <c r="P752" i="1"/>
  <c r="Q752" i="1" s="1"/>
  <c r="P753" i="1"/>
  <c r="O3" i="1"/>
  <c r="O4" i="1"/>
  <c r="O5" i="1"/>
  <c r="O6" i="1"/>
  <c r="Q6" i="1" s="1"/>
  <c r="O7" i="1"/>
  <c r="O8" i="1"/>
  <c r="Q8" i="1" s="1"/>
  <c r="O9" i="1"/>
  <c r="O10" i="1"/>
  <c r="O11" i="1"/>
  <c r="O12" i="1"/>
  <c r="O13" i="1"/>
  <c r="O14" i="1"/>
  <c r="O15" i="1"/>
  <c r="O16" i="1"/>
  <c r="O17" i="1"/>
  <c r="O18" i="1"/>
  <c r="O19" i="1"/>
  <c r="O20" i="1"/>
  <c r="O21" i="1"/>
  <c r="O22" i="1"/>
  <c r="Q22" i="1" s="1"/>
  <c r="O23" i="1"/>
  <c r="O24" i="1"/>
  <c r="O25" i="1"/>
  <c r="O26" i="1"/>
  <c r="O27" i="1"/>
  <c r="O28" i="1"/>
  <c r="O29" i="1"/>
  <c r="O30" i="1"/>
  <c r="O31" i="1"/>
  <c r="O32" i="1"/>
  <c r="O33" i="1"/>
  <c r="Q33" i="1" s="1"/>
  <c r="O34" i="1"/>
  <c r="O35" i="1"/>
  <c r="O36" i="1"/>
  <c r="O37" i="1"/>
  <c r="O38" i="1"/>
  <c r="Q38" i="1" s="1"/>
  <c r="O39" i="1"/>
  <c r="O40" i="1"/>
  <c r="Q40" i="1" s="1"/>
  <c r="O41" i="1"/>
  <c r="O42" i="1"/>
  <c r="O43" i="1"/>
  <c r="O44" i="1"/>
  <c r="O45" i="1"/>
  <c r="O46" i="1"/>
  <c r="O47" i="1"/>
  <c r="O48" i="1"/>
  <c r="Q48" i="1" s="1"/>
  <c r="O49" i="1"/>
  <c r="Q49" i="1" s="1"/>
  <c r="O50" i="1"/>
  <c r="O51" i="1"/>
  <c r="O52" i="1"/>
  <c r="O53" i="1"/>
  <c r="O54" i="1"/>
  <c r="Q54" i="1" s="1"/>
  <c r="O55" i="1"/>
  <c r="O56" i="1"/>
  <c r="Q56" i="1" s="1"/>
  <c r="O57" i="1"/>
  <c r="O58" i="1"/>
  <c r="O59" i="1"/>
  <c r="O60" i="1"/>
  <c r="O61" i="1"/>
  <c r="O62" i="1"/>
  <c r="O63" i="1"/>
  <c r="O64" i="1"/>
  <c r="O65" i="1"/>
  <c r="O66" i="1"/>
  <c r="O67" i="1"/>
  <c r="O68" i="1"/>
  <c r="O69" i="1"/>
  <c r="O70" i="1"/>
  <c r="Q70" i="1" s="1"/>
  <c r="O71" i="1"/>
  <c r="O72" i="1"/>
  <c r="O73" i="1"/>
  <c r="O74" i="1"/>
  <c r="O75" i="1"/>
  <c r="O76" i="1"/>
  <c r="O77" i="1"/>
  <c r="O78" i="1"/>
  <c r="O79" i="1"/>
  <c r="O80" i="1"/>
  <c r="O81" i="1"/>
  <c r="Q81" i="1" s="1"/>
  <c r="O82" i="1"/>
  <c r="O83" i="1"/>
  <c r="O84" i="1"/>
  <c r="O85" i="1"/>
  <c r="O86" i="1"/>
  <c r="Q86" i="1" s="1"/>
  <c r="O87" i="1"/>
  <c r="Q87" i="1" s="1"/>
  <c r="O88" i="1"/>
  <c r="Q88" i="1" s="1"/>
  <c r="O89" i="1"/>
  <c r="O90" i="1"/>
  <c r="O91" i="1"/>
  <c r="O92" i="1"/>
  <c r="O93" i="1"/>
  <c r="O94" i="1"/>
  <c r="O95" i="1"/>
  <c r="O96" i="1"/>
  <c r="O97" i="1"/>
  <c r="O98" i="1"/>
  <c r="O99" i="1"/>
  <c r="O100" i="1"/>
  <c r="O101" i="1"/>
  <c r="O102" i="1"/>
  <c r="Q102" i="1" s="1"/>
  <c r="O103" i="1"/>
  <c r="O104" i="1"/>
  <c r="O105" i="1"/>
  <c r="O106" i="1"/>
  <c r="O107" i="1"/>
  <c r="O108" i="1"/>
  <c r="O109" i="1"/>
  <c r="O110" i="1"/>
  <c r="O111" i="1"/>
  <c r="O112" i="1"/>
  <c r="O113" i="1"/>
  <c r="O114" i="1"/>
  <c r="O115" i="1"/>
  <c r="O116" i="1"/>
  <c r="O117" i="1"/>
  <c r="O118" i="1"/>
  <c r="Q118" i="1" s="1"/>
  <c r="O119" i="1"/>
  <c r="O120" i="1"/>
  <c r="Q120" i="1" s="1"/>
  <c r="O121" i="1"/>
  <c r="O122" i="1"/>
  <c r="O123" i="1"/>
  <c r="O124" i="1"/>
  <c r="O125" i="1"/>
  <c r="O126" i="1"/>
  <c r="O127" i="1"/>
  <c r="O128" i="1"/>
  <c r="O129" i="1"/>
  <c r="O130" i="1"/>
  <c r="O131" i="1"/>
  <c r="O132" i="1"/>
  <c r="O133" i="1"/>
  <c r="O134" i="1"/>
  <c r="Q134" i="1" s="1"/>
  <c r="O135" i="1"/>
  <c r="O136" i="1"/>
  <c r="O137" i="1"/>
  <c r="O138" i="1"/>
  <c r="O139" i="1"/>
  <c r="O140" i="1"/>
  <c r="O141" i="1"/>
  <c r="O142" i="1"/>
  <c r="O143" i="1"/>
  <c r="O144" i="1"/>
  <c r="O145" i="1"/>
  <c r="O146" i="1"/>
  <c r="O147" i="1"/>
  <c r="O148" i="1"/>
  <c r="O149" i="1"/>
  <c r="O150" i="1"/>
  <c r="Q150" i="1" s="1"/>
  <c r="O151" i="1"/>
  <c r="O152" i="1"/>
  <c r="O153" i="1"/>
  <c r="O154" i="1"/>
  <c r="O155" i="1"/>
  <c r="O156" i="1"/>
  <c r="O157" i="1"/>
  <c r="O158" i="1"/>
  <c r="O159" i="1"/>
  <c r="O160" i="1"/>
  <c r="O161" i="1"/>
  <c r="Q161" i="1" s="1"/>
  <c r="O162" i="1"/>
  <c r="O163" i="1"/>
  <c r="O164" i="1"/>
  <c r="O165" i="1"/>
  <c r="O166" i="1"/>
  <c r="Q166" i="1" s="1"/>
  <c r="O167" i="1"/>
  <c r="O168" i="1"/>
  <c r="Q168" i="1" s="1"/>
  <c r="O169" i="1"/>
  <c r="O170" i="1"/>
  <c r="O171" i="1"/>
  <c r="O172" i="1"/>
  <c r="O173" i="1"/>
  <c r="O174" i="1"/>
  <c r="O175" i="1"/>
  <c r="O176" i="1"/>
  <c r="O177" i="1"/>
  <c r="Q177" i="1" s="1"/>
  <c r="O178" i="1"/>
  <c r="O179" i="1"/>
  <c r="O180" i="1"/>
  <c r="O181" i="1"/>
  <c r="O182" i="1"/>
  <c r="Q182" i="1" s="1"/>
  <c r="O183" i="1"/>
  <c r="O184" i="1"/>
  <c r="O185" i="1"/>
  <c r="O186" i="1"/>
  <c r="O187" i="1"/>
  <c r="O188" i="1"/>
  <c r="O189" i="1"/>
  <c r="O190" i="1"/>
  <c r="O191" i="1"/>
  <c r="O192" i="1"/>
  <c r="O193" i="1"/>
  <c r="Q193" i="1" s="1"/>
  <c r="O194" i="1"/>
  <c r="O195" i="1"/>
  <c r="O196" i="1"/>
  <c r="O197" i="1"/>
  <c r="O198" i="1"/>
  <c r="Q198" i="1" s="1"/>
  <c r="O199" i="1"/>
  <c r="O200" i="1"/>
  <c r="O201" i="1"/>
  <c r="O202" i="1"/>
  <c r="O203" i="1"/>
  <c r="O204" i="1"/>
  <c r="O205" i="1"/>
  <c r="O206" i="1"/>
  <c r="O207" i="1"/>
  <c r="O208" i="1"/>
  <c r="O209" i="1"/>
  <c r="O210" i="1"/>
  <c r="O211" i="1"/>
  <c r="O212" i="1"/>
  <c r="O213" i="1"/>
  <c r="O214" i="1"/>
  <c r="Q214" i="1" s="1"/>
  <c r="O215" i="1"/>
  <c r="Q215" i="1" s="1"/>
  <c r="O216" i="1"/>
  <c r="Q216" i="1" s="1"/>
  <c r="O217" i="1"/>
  <c r="O218" i="1"/>
  <c r="O219" i="1"/>
  <c r="O220" i="1"/>
  <c r="O221" i="1"/>
  <c r="O222" i="1"/>
  <c r="O223" i="1"/>
  <c r="O224" i="1"/>
  <c r="O225" i="1"/>
  <c r="O226" i="1"/>
  <c r="O227" i="1"/>
  <c r="O228" i="1"/>
  <c r="O229" i="1"/>
  <c r="O230" i="1"/>
  <c r="Q230" i="1" s="1"/>
  <c r="O231" i="1"/>
  <c r="Q231" i="1" s="1"/>
  <c r="O232" i="1"/>
  <c r="Q232" i="1" s="1"/>
  <c r="O233" i="1"/>
  <c r="O234" i="1"/>
  <c r="Q234" i="1" s="1"/>
  <c r="O235" i="1"/>
  <c r="O236" i="1"/>
  <c r="O237" i="1"/>
  <c r="O238" i="1"/>
  <c r="O239" i="1"/>
  <c r="O240" i="1"/>
  <c r="O241" i="1"/>
  <c r="O242" i="1"/>
  <c r="O243" i="1"/>
  <c r="O244" i="1"/>
  <c r="O245" i="1"/>
  <c r="O246" i="1"/>
  <c r="Q246" i="1" s="1"/>
  <c r="O247" i="1"/>
  <c r="O248" i="1"/>
  <c r="O249" i="1"/>
  <c r="O250" i="1"/>
  <c r="O251" i="1"/>
  <c r="O252" i="1"/>
  <c r="O253" i="1"/>
  <c r="O254" i="1"/>
  <c r="O255" i="1"/>
  <c r="O256" i="1"/>
  <c r="O257" i="1"/>
  <c r="Q257" i="1" s="1"/>
  <c r="O258" i="1"/>
  <c r="O259" i="1"/>
  <c r="O260" i="1"/>
  <c r="O261" i="1"/>
  <c r="O262" i="1"/>
  <c r="Q262" i="1" s="1"/>
  <c r="O263" i="1"/>
  <c r="O264" i="1"/>
  <c r="O265" i="1"/>
  <c r="O266" i="1"/>
  <c r="O267" i="1"/>
  <c r="O268" i="1"/>
  <c r="O269" i="1"/>
  <c r="O270" i="1"/>
  <c r="O271" i="1"/>
  <c r="O272" i="1"/>
  <c r="O273" i="1"/>
  <c r="O274" i="1"/>
  <c r="O275" i="1"/>
  <c r="O276" i="1"/>
  <c r="O277" i="1"/>
  <c r="O278" i="1"/>
  <c r="Q278" i="1" s="1"/>
  <c r="O279" i="1"/>
  <c r="O280" i="1"/>
  <c r="O281" i="1"/>
  <c r="O282" i="1"/>
  <c r="O283" i="1"/>
  <c r="O284" i="1"/>
  <c r="O285" i="1"/>
  <c r="O286" i="1"/>
  <c r="O287" i="1"/>
  <c r="O288" i="1"/>
  <c r="O289" i="1"/>
  <c r="O290" i="1"/>
  <c r="O291" i="1"/>
  <c r="O292" i="1"/>
  <c r="O293" i="1"/>
  <c r="Q293" i="1" s="1"/>
  <c r="O294" i="1"/>
  <c r="Q294" i="1" s="1"/>
  <c r="O295" i="1"/>
  <c r="Q295" i="1" s="1"/>
  <c r="O296" i="1"/>
  <c r="Q296" i="1" s="1"/>
  <c r="O297" i="1"/>
  <c r="O298" i="1"/>
  <c r="O299" i="1"/>
  <c r="O300" i="1"/>
  <c r="O301" i="1"/>
  <c r="O302" i="1"/>
  <c r="O303" i="1"/>
  <c r="O304" i="1"/>
  <c r="O305" i="1"/>
  <c r="Q305" i="1" s="1"/>
  <c r="O306" i="1"/>
  <c r="O307" i="1"/>
  <c r="O308" i="1"/>
  <c r="O309" i="1"/>
  <c r="O310" i="1"/>
  <c r="Q310" i="1" s="1"/>
  <c r="O311" i="1"/>
  <c r="O312" i="1"/>
  <c r="O313" i="1"/>
  <c r="O314" i="1"/>
  <c r="O315" i="1"/>
  <c r="O316" i="1"/>
  <c r="O317" i="1"/>
  <c r="O318" i="1"/>
  <c r="O319" i="1"/>
  <c r="O320" i="1"/>
  <c r="O321" i="1"/>
  <c r="Q321" i="1" s="1"/>
  <c r="O322" i="1"/>
  <c r="O323" i="1"/>
  <c r="O324" i="1"/>
  <c r="O325" i="1"/>
  <c r="O326" i="1"/>
  <c r="Q326" i="1" s="1"/>
  <c r="O327" i="1"/>
  <c r="O328" i="1"/>
  <c r="Q328" i="1" s="1"/>
  <c r="O329" i="1"/>
  <c r="O330" i="1"/>
  <c r="Q330" i="1" s="1"/>
  <c r="O331" i="1"/>
  <c r="O332" i="1"/>
  <c r="O333" i="1"/>
  <c r="O334" i="1"/>
  <c r="O335" i="1"/>
  <c r="O336" i="1"/>
  <c r="O337" i="1"/>
  <c r="O338" i="1"/>
  <c r="O339" i="1"/>
  <c r="O340" i="1"/>
  <c r="O341" i="1"/>
  <c r="O342" i="1"/>
  <c r="Q342" i="1" s="1"/>
  <c r="O343" i="1"/>
  <c r="O344" i="1"/>
  <c r="O345" i="1"/>
  <c r="O346" i="1"/>
  <c r="O347" i="1"/>
  <c r="O348" i="1"/>
  <c r="O349" i="1"/>
  <c r="O350" i="1"/>
  <c r="O351" i="1"/>
  <c r="O352" i="1"/>
  <c r="O353" i="1"/>
  <c r="O354" i="1"/>
  <c r="O355" i="1"/>
  <c r="O356" i="1"/>
  <c r="O357" i="1"/>
  <c r="O358" i="1"/>
  <c r="O359" i="1"/>
  <c r="Q359" i="1" s="1"/>
  <c r="O360" i="1"/>
  <c r="Q360" i="1" s="1"/>
  <c r="O361" i="1"/>
  <c r="Q361" i="1" s="1"/>
  <c r="O362" i="1"/>
  <c r="O363" i="1"/>
  <c r="O364" i="1"/>
  <c r="O365" i="1"/>
  <c r="O366" i="1"/>
  <c r="O367" i="1"/>
  <c r="O368" i="1"/>
  <c r="O369" i="1"/>
  <c r="O370" i="1"/>
  <c r="O371" i="1"/>
  <c r="O372" i="1"/>
  <c r="O373" i="1"/>
  <c r="O374" i="1"/>
  <c r="Q374" i="1" s="1"/>
  <c r="O375" i="1"/>
  <c r="O376" i="1"/>
  <c r="Q376" i="1" s="1"/>
  <c r="O377" i="1"/>
  <c r="O378" i="1"/>
  <c r="Q378" i="1" s="1"/>
  <c r="O379" i="1"/>
  <c r="O380" i="1"/>
  <c r="O381" i="1"/>
  <c r="O382" i="1"/>
  <c r="O383" i="1"/>
  <c r="O384" i="1"/>
  <c r="O385" i="1"/>
  <c r="O386" i="1"/>
  <c r="O387" i="1"/>
  <c r="O388" i="1"/>
  <c r="O389" i="1"/>
  <c r="O390" i="1"/>
  <c r="Q390" i="1" s="1"/>
  <c r="O391" i="1"/>
  <c r="O392" i="1"/>
  <c r="Q392" i="1" s="1"/>
  <c r="O393" i="1"/>
  <c r="O394" i="1"/>
  <c r="O395" i="1"/>
  <c r="O396" i="1"/>
  <c r="O397" i="1"/>
  <c r="O398" i="1"/>
  <c r="O399" i="1"/>
  <c r="O400" i="1"/>
  <c r="Q400" i="1" s="1"/>
  <c r="O401" i="1"/>
  <c r="Q401" i="1" s="1"/>
  <c r="O402" i="1"/>
  <c r="O403" i="1"/>
  <c r="O404" i="1"/>
  <c r="O405" i="1"/>
  <c r="O406" i="1"/>
  <c r="Q406" i="1" s="1"/>
  <c r="O407" i="1"/>
  <c r="O408" i="1"/>
  <c r="O409" i="1"/>
  <c r="O410" i="1"/>
  <c r="O411" i="1"/>
  <c r="O412" i="1"/>
  <c r="O413" i="1"/>
  <c r="O414" i="1"/>
  <c r="O415" i="1"/>
  <c r="O416" i="1"/>
  <c r="O417" i="1"/>
  <c r="O418" i="1"/>
  <c r="O419" i="1"/>
  <c r="O420" i="1"/>
  <c r="O421" i="1"/>
  <c r="O422" i="1"/>
  <c r="O423" i="1"/>
  <c r="O424" i="1"/>
  <c r="Q424" i="1" s="1"/>
  <c r="O425" i="1"/>
  <c r="O426" i="1"/>
  <c r="O427" i="1"/>
  <c r="O428" i="1"/>
  <c r="O429" i="1"/>
  <c r="O430" i="1"/>
  <c r="O431" i="1"/>
  <c r="O432" i="1"/>
  <c r="O433" i="1"/>
  <c r="O434" i="1"/>
  <c r="O435" i="1"/>
  <c r="O436" i="1"/>
  <c r="O437" i="1"/>
  <c r="O438" i="1"/>
  <c r="Q438" i="1" s="1"/>
  <c r="O439" i="1"/>
  <c r="O440" i="1"/>
  <c r="Q440" i="1" s="1"/>
  <c r="O441" i="1"/>
  <c r="O442" i="1"/>
  <c r="O443" i="1"/>
  <c r="O444" i="1"/>
  <c r="O445" i="1"/>
  <c r="O446" i="1"/>
  <c r="O447" i="1"/>
  <c r="O448" i="1"/>
  <c r="Q448" i="1" s="1"/>
  <c r="O449" i="1"/>
  <c r="Q449" i="1" s="1"/>
  <c r="O450" i="1"/>
  <c r="O451" i="1"/>
  <c r="O452" i="1"/>
  <c r="O453" i="1"/>
  <c r="O454" i="1"/>
  <c r="Q454" i="1" s="1"/>
  <c r="O455" i="1"/>
  <c r="O456" i="1"/>
  <c r="O457" i="1"/>
  <c r="O458" i="1"/>
  <c r="O459" i="1"/>
  <c r="O460" i="1"/>
  <c r="O461" i="1"/>
  <c r="O462" i="1"/>
  <c r="O463" i="1"/>
  <c r="O464" i="1"/>
  <c r="O465" i="1"/>
  <c r="Q465" i="1" s="1"/>
  <c r="O466" i="1"/>
  <c r="O467" i="1"/>
  <c r="O468" i="1"/>
  <c r="O469" i="1"/>
  <c r="O470" i="1"/>
  <c r="Q470" i="1" s="1"/>
  <c r="O471" i="1"/>
  <c r="O472" i="1"/>
  <c r="O473" i="1"/>
  <c r="O474" i="1"/>
  <c r="Q474" i="1" s="1"/>
  <c r="O475" i="1"/>
  <c r="O476" i="1"/>
  <c r="O477" i="1"/>
  <c r="O478" i="1"/>
  <c r="O479" i="1"/>
  <c r="O480" i="1"/>
  <c r="O481" i="1"/>
  <c r="O482" i="1"/>
  <c r="O483" i="1"/>
  <c r="O484" i="1"/>
  <c r="O485" i="1"/>
  <c r="O486" i="1"/>
  <c r="Q486" i="1" s="1"/>
  <c r="O487" i="1"/>
  <c r="O488" i="1"/>
  <c r="Q488" i="1" s="1"/>
  <c r="O489" i="1"/>
  <c r="O490" i="1"/>
  <c r="O491" i="1"/>
  <c r="O492" i="1"/>
  <c r="O493" i="1"/>
  <c r="O494" i="1"/>
  <c r="O495" i="1"/>
  <c r="O496" i="1"/>
  <c r="O497" i="1"/>
  <c r="O498" i="1"/>
  <c r="O499" i="1"/>
  <c r="O500" i="1"/>
  <c r="O501" i="1"/>
  <c r="O502" i="1"/>
  <c r="Q502" i="1" s="1"/>
  <c r="O503" i="1"/>
  <c r="O504" i="1"/>
  <c r="Q504" i="1" s="1"/>
  <c r="O505" i="1"/>
  <c r="O506" i="1"/>
  <c r="O507" i="1"/>
  <c r="O508" i="1"/>
  <c r="O509" i="1"/>
  <c r="O510" i="1"/>
  <c r="O511" i="1"/>
  <c r="O512" i="1"/>
  <c r="O513" i="1"/>
  <c r="O514" i="1"/>
  <c r="O515" i="1"/>
  <c r="O516" i="1"/>
  <c r="O517" i="1"/>
  <c r="O518" i="1"/>
  <c r="Q518" i="1" s="1"/>
  <c r="O519" i="1"/>
  <c r="O520" i="1"/>
  <c r="O521" i="1"/>
  <c r="O522" i="1"/>
  <c r="O523" i="1"/>
  <c r="O524" i="1"/>
  <c r="O525" i="1"/>
  <c r="O526" i="1"/>
  <c r="O527" i="1"/>
  <c r="O528" i="1"/>
  <c r="O529" i="1"/>
  <c r="Q529" i="1" s="1"/>
  <c r="O530" i="1"/>
  <c r="O531" i="1"/>
  <c r="O532" i="1"/>
  <c r="O533" i="1"/>
  <c r="O534" i="1"/>
  <c r="Q534" i="1" s="1"/>
  <c r="O535" i="1"/>
  <c r="O536" i="1"/>
  <c r="O537" i="1"/>
  <c r="O538" i="1"/>
  <c r="O539" i="1"/>
  <c r="O540" i="1"/>
  <c r="O541" i="1"/>
  <c r="O542" i="1"/>
  <c r="Q542" i="1" s="1"/>
  <c r="O543" i="1"/>
  <c r="O544" i="1"/>
  <c r="O545" i="1"/>
  <c r="Q545" i="1" s="1"/>
  <c r="O546" i="1"/>
  <c r="O547" i="1"/>
  <c r="O548" i="1"/>
  <c r="O549" i="1"/>
  <c r="O550" i="1"/>
  <c r="Q550" i="1" s="1"/>
  <c r="O551" i="1"/>
  <c r="O552" i="1"/>
  <c r="Q552" i="1" s="1"/>
  <c r="O553" i="1"/>
  <c r="O554" i="1"/>
  <c r="O555" i="1"/>
  <c r="O556" i="1"/>
  <c r="O557" i="1"/>
  <c r="O558" i="1"/>
  <c r="O559" i="1"/>
  <c r="O560" i="1"/>
  <c r="O561" i="1"/>
  <c r="O562" i="1"/>
  <c r="O563" i="1"/>
  <c r="O564" i="1"/>
  <c r="O565" i="1"/>
  <c r="O566" i="1"/>
  <c r="Q566" i="1" s="1"/>
  <c r="O567" i="1"/>
  <c r="O568" i="1"/>
  <c r="O569" i="1"/>
  <c r="Q569" i="1" s="1"/>
  <c r="O570" i="1"/>
  <c r="O571" i="1"/>
  <c r="O572" i="1"/>
  <c r="O573" i="1"/>
  <c r="O574" i="1"/>
  <c r="O575" i="1"/>
  <c r="O576" i="1"/>
  <c r="O577" i="1"/>
  <c r="Q577" i="1" s="1"/>
  <c r="O578" i="1"/>
  <c r="O579" i="1"/>
  <c r="O580" i="1"/>
  <c r="O581" i="1"/>
  <c r="O582" i="1"/>
  <c r="Q582" i="1" s="1"/>
  <c r="O583" i="1"/>
  <c r="O584" i="1"/>
  <c r="O585" i="1"/>
  <c r="O586" i="1"/>
  <c r="O587" i="1"/>
  <c r="O588" i="1"/>
  <c r="O589" i="1"/>
  <c r="O590" i="1"/>
  <c r="O591" i="1"/>
  <c r="O592" i="1"/>
  <c r="O593" i="1"/>
  <c r="O594" i="1"/>
  <c r="O595" i="1"/>
  <c r="O596" i="1"/>
  <c r="O597" i="1"/>
  <c r="O598" i="1"/>
  <c r="Q598" i="1" s="1"/>
  <c r="O599" i="1"/>
  <c r="O600" i="1"/>
  <c r="Q600" i="1" s="1"/>
  <c r="O601" i="1"/>
  <c r="O602" i="1"/>
  <c r="O603" i="1"/>
  <c r="O604" i="1"/>
  <c r="O605" i="1"/>
  <c r="O606" i="1"/>
  <c r="O607" i="1"/>
  <c r="O608" i="1"/>
  <c r="O609" i="1"/>
  <c r="O610" i="1"/>
  <c r="O611" i="1"/>
  <c r="Q611" i="1" s="1"/>
  <c r="O612" i="1"/>
  <c r="O613" i="1"/>
  <c r="O614" i="1"/>
  <c r="Q614" i="1" s="1"/>
  <c r="O615" i="1"/>
  <c r="O616" i="1"/>
  <c r="O617" i="1"/>
  <c r="O618" i="1"/>
  <c r="O619" i="1"/>
  <c r="O620" i="1"/>
  <c r="O621" i="1"/>
  <c r="O622" i="1"/>
  <c r="O623" i="1"/>
  <c r="O624" i="1"/>
  <c r="O625" i="1"/>
  <c r="O626" i="1"/>
  <c r="O627" i="1"/>
  <c r="O628" i="1"/>
  <c r="O629" i="1"/>
  <c r="O630" i="1"/>
  <c r="Q630" i="1" s="1"/>
  <c r="O631" i="1"/>
  <c r="Q631" i="1" s="1"/>
  <c r="O632" i="1"/>
  <c r="Q632" i="1" s="1"/>
  <c r="O633" i="1"/>
  <c r="O634" i="1"/>
  <c r="O635" i="1"/>
  <c r="O636" i="1"/>
  <c r="O637" i="1"/>
  <c r="O638" i="1"/>
  <c r="O639" i="1"/>
  <c r="O640" i="1"/>
  <c r="O641" i="1"/>
  <c r="O642" i="1"/>
  <c r="O643" i="1"/>
  <c r="O644" i="1"/>
  <c r="O645" i="1"/>
  <c r="O646" i="1"/>
  <c r="Q646" i="1" s="1"/>
  <c r="O647" i="1"/>
  <c r="O648" i="1"/>
  <c r="Q648" i="1" s="1"/>
  <c r="O649" i="1"/>
  <c r="O650" i="1"/>
  <c r="O651" i="1"/>
  <c r="O652" i="1"/>
  <c r="O653" i="1"/>
  <c r="O654" i="1"/>
  <c r="O655" i="1"/>
  <c r="O656" i="1"/>
  <c r="O657" i="1"/>
  <c r="O658" i="1"/>
  <c r="O659" i="1"/>
  <c r="O660" i="1"/>
  <c r="O661" i="1"/>
  <c r="O662" i="1"/>
  <c r="Q662" i="1" s="1"/>
  <c r="O663" i="1"/>
  <c r="O664" i="1"/>
  <c r="O665" i="1"/>
  <c r="O666" i="1"/>
  <c r="O667" i="1"/>
  <c r="O668" i="1"/>
  <c r="O669" i="1"/>
  <c r="O670" i="1"/>
  <c r="O671" i="1"/>
  <c r="O672" i="1"/>
  <c r="O673" i="1"/>
  <c r="Q673" i="1" s="1"/>
  <c r="O674" i="1"/>
  <c r="O675" i="1"/>
  <c r="O676" i="1"/>
  <c r="O677" i="1"/>
  <c r="O678" i="1"/>
  <c r="Q678" i="1" s="1"/>
  <c r="O679" i="1"/>
  <c r="O680" i="1"/>
  <c r="O681" i="1"/>
  <c r="O682" i="1"/>
  <c r="O683" i="1"/>
  <c r="O684" i="1"/>
  <c r="O685" i="1"/>
  <c r="Q685" i="1" s="1"/>
  <c r="O686" i="1"/>
  <c r="Q686" i="1" s="1"/>
  <c r="O687" i="1"/>
  <c r="O688" i="1"/>
  <c r="O689" i="1"/>
  <c r="O690" i="1"/>
  <c r="O691" i="1"/>
  <c r="O692" i="1"/>
  <c r="O693" i="1"/>
  <c r="O694" i="1"/>
  <c r="Q694" i="1" s="1"/>
  <c r="O695" i="1"/>
  <c r="O696" i="1"/>
  <c r="Q696" i="1" s="1"/>
  <c r="O697" i="1"/>
  <c r="O698" i="1"/>
  <c r="O699" i="1"/>
  <c r="O700" i="1"/>
  <c r="O701" i="1"/>
  <c r="O702" i="1"/>
  <c r="O703" i="1"/>
  <c r="O704" i="1"/>
  <c r="O705" i="1"/>
  <c r="Q705" i="1" s="1"/>
  <c r="O706" i="1"/>
  <c r="O707" i="1"/>
  <c r="Q707" i="1" s="1"/>
  <c r="O708" i="1"/>
  <c r="O709" i="1"/>
  <c r="O710" i="1"/>
  <c r="Q710" i="1" s="1"/>
  <c r="O711" i="1"/>
  <c r="O712" i="1"/>
  <c r="O713" i="1"/>
  <c r="O714" i="1"/>
  <c r="O715" i="1"/>
  <c r="O716" i="1"/>
  <c r="O717" i="1"/>
  <c r="O718" i="1"/>
  <c r="O719" i="1"/>
  <c r="O720" i="1"/>
  <c r="O721" i="1"/>
  <c r="Q721" i="1" s="1"/>
  <c r="O722" i="1"/>
  <c r="O723" i="1"/>
  <c r="Q723" i="1" s="1"/>
  <c r="O724" i="1"/>
  <c r="O725" i="1"/>
  <c r="O726" i="1"/>
  <c r="Q726" i="1" s="1"/>
  <c r="O727" i="1"/>
  <c r="O728" i="1"/>
  <c r="O729" i="1"/>
  <c r="O730" i="1"/>
  <c r="Q730" i="1" s="1"/>
  <c r="O731" i="1"/>
  <c r="O732" i="1"/>
  <c r="O733" i="1"/>
  <c r="O734" i="1"/>
  <c r="O735" i="1"/>
  <c r="O736" i="1"/>
  <c r="O737" i="1"/>
  <c r="O738" i="1"/>
  <c r="O739" i="1"/>
  <c r="O740" i="1"/>
  <c r="O741" i="1"/>
  <c r="O742" i="1"/>
  <c r="Q742" i="1" s="1"/>
  <c r="O743" i="1"/>
  <c r="O744" i="1"/>
  <c r="Q744" i="1" s="1"/>
  <c r="O745" i="1"/>
  <c r="O746" i="1"/>
  <c r="O747" i="1"/>
  <c r="O748" i="1"/>
  <c r="O749" i="1"/>
  <c r="O750" i="1"/>
  <c r="O751" i="1"/>
  <c r="O752" i="1"/>
  <c r="O753" i="1"/>
  <c r="Q725" i="1" l="1"/>
  <c r="Q629" i="1"/>
  <c r="Q597" i="1"/>
  <c r="Q565" i="1"/>
  <c r="Q533" i="1"/>
  <c r="Q485" i="1"/>
  <c r="Q453" i="1"/>
  <c r="Q405" i="1"/>
  <c r="Q325" i="1"/>
  <c r="Q277" i="1"/>
  <c r="Q229" i="1"/>
  <c r="Q197" i="1"/>
  <c r="Q165" i="1"/>
  <c r="Q101" i="1"/>
  <c r="Q53" i="1"/>
  <c r="Q21" i="1"/>
  <c r="Q724" i="1"/>
  <c r="Q612" i="1"/>
  <c r="Q580" i="1"/>
  <c r="Q548" i="1"/>
  <c r="Q468" i="1"/>
  <c r="Q404" i="1"/>
  <c r="Q356" i="1"/>
  <c r="Q324" i="1"/>
  <c r="Q292" i="1"/>
  <c r="Q196" i="1"/>
  <c r="Q164" i="1"/>
  <c r="Q52" i="1"/>
  <c r="Q741" i="1"/>
  <c r="Q645" i="1"/>
  <c r="Q613" i="1"/>
  <c r="Q581" i="1"/>
  <c r="Q549" i="1"/>
  <c r="Q469" i="1"/>
  <c r="Q421" i="1"/>
  <c r="Q341" i="1"/>
  <c r="Q309" i="1"/>
  <c r="Q181" i="1"/>
  <c r="Q149" i="1"/>
  <c r="Q85" i="1"/>
  <c r="Q69" i="1"/>
  <c r="Q740" i="1"/>
  <c r="Q708" i="1"/>
  <c r="Q628" i="1"/>
  <c r="Q596" i="1"/>
  <c r="Q564" i="1"/>
  <c r="Q532" i="1"/>
  <c r="Q484" i="1"/>
  <c r="Q452" i="1"/>
  <c r="Q420" i="1"/>
  <c r="Q340" i="1"/>
  <c r="Q308" i="1"/>
  <c r="Q276" i="1"/>
  <c r="Q228" i="1"/>
  <c r="Q180" i="1"/>
  <c r="Q148" i="1"/>
  <c r="Q84" i="1"/>
  <c r="Q68" i="1"/>
  <c r="Q20" i="1"/>
  <c r="Q753" i="1"/>
  <c r="Q657" i="1"/>
  <c r="Q625" i="1"/>
  <c r="Q593" i="1"/>
  <c r="Q513" i="1"/>
  <c r="Q481" i="1"/>
  <c r="Q433" i="1"/>
  <c r="Q369" i="1"/>
  <c r="Q337" i="1"/>
  <c r="Q273" i="1"/>
  <c r="Q225" i="1"/>
  <c r="Q97" i="1"/>
  <c r="Q736" i="1"/>
  <c r="Q688" i="1"/>
  <c r="Q672" i="1"/>
  <c r="Q640" i="1"/>
  <c r="Q608" i="1"/>
  <c r="Q576" i="1"/>
  <c r="Q544" i="1"/>
  <c r="Q512" i="1"/>
  <c r="Q480" i="1"/>
  <c r="Q416" i="1"/>
  <c r="Q368" i="1"/>
  <c r="Q336" i="1"/>
  <c r="Q304" i="1"/>
  <c r="Q272" i="1"/>
  <c r="Q240" i="1"/>
  <c r="Q208" i="1"/>
  <c r="Q176" i="1"/>
  <c r="Q144" i="1"/>
  <c r="Q112" i="1"/>
  <c r="Q80" i="1"/>
  <c r="Q32" i="1"/>
  <c r="Q543" i="1"/>
  <c r="Q743" i="1"/>
  <c r="Q695" i="1"/>
  <c r="Q647" i="1"/>
  <c r="Q519" i="1"/>
  <c r="Q487" i="1"/>
  <c r="Q439" i="1"/>
  <c r="Q391" i="1"/>
  <c r="Q327" i="1"/>
  <c r="Q199" i="1"/>
  <c r="Q183" i="1"/>
  <c r="Q119" i="1"/>
  <c r="Q103" i="1"/>
  <c r="Q71" i="1"/>
  <c r="Q7" i="1"/>
  <c r="Q739" i="1"/>
  <c r="Q691" i="1"/>
  <c r="Q737" i="1"/>
  <c r="Q689" i="1"/>
  <c r="Q641" i="1"/>
  <c r="Q609" i="1"/>
  <c r="Q497" i="1"/>
  <c r="Q385" i="1"/>
  <c r="Q353" i="1"/>
  <c r="Q289" i="1"/>
  <c r="Q241" i="1"/>
  <c r="Q113" i="1"/>
  <c r="Q17" i="1"/>
  <c r="Q720" i="1"/>
  <c r="Q656" i="1"/>
  <c r="Q624" i="1"/>
  <c r="Q592" i="1"/>
  <c r="Q560" i="1"/>
  <c r="Q528" i="1"/>
  <c r="Q496" i="1"/>
  <c r="Q464" i="1"/>
  <c r="Q432" i="1"/>
  <c r="Q384" i="1"/>
  <c r="Q352" i="1"/>
  <c r="Q320" i="1"/>
  <c r="Q288" i="1"/>
  <c r="Q256" i="1"/>
  <c r="Q224" i="1"/>
  <c r="Q192" i="1"/>
  <c r="Q160" i="1"/>
  <c r="Q96" i="1"/>
  <c r="Q64" i="1"/>
  <c r="Q16" i="1"/>
  <c r="Q687" i="1"/>
  <c r="Q447" i="1"/>
  <c r="Q745" i="1"/>
  <c r="Q633" i="1"/>
  <c r="Q601" i="1"/>
  <c r="Q585" i="1"/>
  <c r="Q553" i="1"/>
  <c r="Q489" i="1"/>
  <c r="Q441" i="1"/>
  <c r="Q425" i="1"/>
  <c r="Q377" i="1"/>
  <c r="Q329" i="1"/>
  <c r="Q297" i="1"/>
  <c r="Q265" i="1"/>
  <c r="Q233" i="1"/>
  <c r="Q217" i="1"/>
  <c r="Q169" i="1"/>
  <c r="Q121" i="1"/>
  <c r="Q57" i="1"/>
  <c r="Q41" i="1"/>
  <c r="Q9" i="1"/>
  <c r="Q728" i="1"/>
  <c r="Q536" i="1"/>
  <c r="Q408" i="1"/>
  <c r="Q280" i="1"/>
  <c r="Q152" i="1"/>
  <c r="Q24" i="1"/>
  <c r="Q303" i="1"/>
  <c r="Q302" i="1"/>
  <c r="Q429" i="1"/>
  <c r="Q748" i="1"/>
  <c r="Q732" i="1"/>
  <c r="Q716" i="1"/>
  <c r="Q700" i="1"/>
  <c r="Q684" i="1"/>
  <c r="Q668" i="1"/>
  <c r="Q652" i="1"/>
  <c r="Q636" i="1"/>
  <c r="Q620" i="1"/>
  <c r="Q604" i="1"/>
  <c r="Q588" i="1"/>
  <c r="Q572" i="1"/>
  <c r="Q556" i="1"/>
  <c r="Q540" i="1"/>
  <c r="Q524" i="1"/>
  <c r="Q508" i="1"/>
  <c r="Q492" i="1"/>
  <c r="Q476" i="1"/>
  <c r="Q460" i="1"/>
  <c r="Q444" i="1"/>
  <c r="Q428" i="1"/>
  <c r="Q412" i="1"/>
  <c r="Q396" i="1"/>
  <c r="Q380" i="1"/>
  <c r="Q364" i="1"/>
  <c r="Q348" i="1"/>
  <c r="Q332" i="1"/>
  <c r="Q316" i="1"/>
  <c r="Q300" i="1"/>
  <c r="Q284" i="1"/>
  <c r="Q268" i="1"/>
  <c r="Q252" i="1"/>
  <c r="Q236" i="1"/>
  <c r="Q220" i="1"/>
  <c r="Q204" i="1"/>
  <c r="Q188" i="1"/>
  <c r="Q172" i="1"/>
  <c r="Q156" i="1"/>
  <c r="Q140" i="1"/>
  <c r="Q124" i="1"/>
  <c r="Q108" i="1"/>
  <c r="Q92" i="1"/>
  <c r="Q76" i="1"/>
  <c r="Q60" i="1"/>
  <c r="Q44" i="1"/>
  <c r="Q28" i="1"/>
  <c r="Q12" i="1"/>
  <c r="Q731" i="1"/>
  <c r="Q683" i="1"/>
  <c r="Q714" i="1"/>
  <c r="Q698" i="1"/>
  <c r="Q682" i="1"/>
  <c r="Q650" i="1"/>
  <c r="Q634" i="1"/>
  <c r="Q602" i="1"/>
  <c r="Q586" i="1"/>
  <c r="Q538" i="1"/>
  <c r="Q506" i="1"/>
  <c r="Q490" i="1"/>
  <c r="Q458" i="1"/>
  <c r="Q410" i="1"/>
  <c r="Q394" i="1"/>
  <c r="Q362" i="1"/>
  <c r="Q346" i="1"/>
  <c r="Q266" i="1"/>
  <c r="Q250" i="1"/>
  <c r="Q218" i="1"/>
  <c r="Q154" i="1"/>
  <c r="Q138" i="1"/>
  <c r="Q122" i="1"/>
  <c r="Q90" i="1"/>
  <c r="Q26" i="1"/>
  <c r="Q10" i="1"/>
  <c r="Q747" i="1"/>
  <c r="Q715" i="1"/>
  <c r="Q699" i="1"/>
  <c r="Q667" i="1"/>
  <c r="Q651" i="1"/>
  <c r="Q635" i="1"/>
  <c r="Q603" i="1"/>
  <c r="Q587" i="1"/>
  <c r="Q539" i="1"/>
  <c r="Q507" i="1"/>
  <c r="Q491" i="1"/>
  <c r="Q459" i="1"/>
  <c r="Q411" i="1"/>
  <c r="Q395" i="1"/>
  <c r="Q363" i="1"/>
  <c r="Q347" i="1"/>
  <c r="Q331" i="1"/>
  <c r="Q267" i="1"/>
  <c r="Q251" i="1"/>
  <c r="Q219" i="1"/>
  <c r="Q139" i="1"/>
  <c r="Q123" i="1"/>
  <c r="Q91" i="1"/>
  <c r="Q11" i="1"/>
  <c r="Q735" i="1"/>
  <c r="Q719" i="1"/>
  <c r="Q671" i="1"/>
  <c r="Q655" i="1"/>
  <c r="Q623" i="1"/>
  <c r="Q607" i="1"/>
  <c r="Q591" i="1"/>
  <c r="Q575" i="1"/>
  <c r="Q559" i="1"/>
  <c r="Q527" i="1"/>
  <c r="Q511" i="1"/>
  <c r="Q479" i="1"/>
  <c r="Q463" i="1"/>
  <c r="Q431" i="1"/>
  <c r="Q415" i="1"/>
  <c r="Q383" i="1"/>
  <c r="Q367" i="1"/>
  <c r="Q351" i="1"/>
  <c r="Q335" i="1"/>
  <c r="Q319" i="1"/>
  <c r="Q287" i="1"/>
  <c r="Q271" i="1"/>
  <c r="Q239" i="1"/>
  <c r="Q223" i="1"/>
  <c r="Q207" i="1"/>
  <c r="Q191" i="1"/>
  <c r="Q175" i="1"/>
  <c r="Q159" i="1"/>
  <c r="Q143" i="1"/>
  <c r="Q111" i="1"/>
  <c r="Q95" i="1"/>
  <c r="Q79" i="1"/>
  <c r="Q63" i="1"/>
  <c r="Q47" i="1"/>
  <c r="Q31" i="1"/>
  <c r="Q15" i="1"/>
  <c r="Q734" i="1"/>
  <c r="Q718" i="1"/>
  <c r="Q702" i="1"/>
  <c r="Q670" i="1"/>
  <c r="Q654" i="1"/>
  <c r="Q622" i="1"/>
  <c r="Q606" i="1"/>
  <c r="Q590" i="1"/>
  <c r="Q558" i="1"/>
  <c r="Q526" i="1"/>
  <c r="Q510" i="1"/>
  <c r="Q478" i="1"/>
  <c r="Q462" i="1"/>
  <c r="Q446" i="1"/>
  <c r="Q430" i="1"/>
  <c r="Q414" i="1"/>
  <c r="Q382" i="1"/>
  <c r="Q366" i="1"/>
  <c r="Q350" i="1"/>
  <c r="Q334" i="1"/>
  <c r="Q318" i="1"/>
  <c r="Q286" i="1"/>
  <c r="Q270" i="1"/>
  <c r="Q238" i="1"/>
  <c r="Q222" i="1"/>
  <c r="Q206" i="1"/>
  <c r="Q190" i="1"/>
  <c r="Q174" i="1"/>
  <c r="Q142" i="1"/>
  <c r="Q110" i="1"/>
  <c r="Q94" i="1"/>
  <c r="Q78" i="1"/>
  <c r="Q62" i="1"/>
  <c r="Q46" i="1"/>
  <c r="Q30" i="1"/>
  <c r="Q14" i="1"/>
  <c r="Q733" i="1"/>
  <c r="Q717" i="1"/>
  <c r="Q701" i="1"/>
  <c r="Q669" i="1"/>
  <c r="Q653" i="1"/>
  <c r="Q621" i="1"/>
  <c r="Q605" i="1"/>
  <c r="Q589" i="1"/>
  <c r="Q573" i="1"/>
  <c r="Q557" i="1"/>
  <c r="Q541" i="1"/>
  <c r="Q525" i="1"/>
  <c r="Q509" i="1"/>
  <c r="Q477" i="1"/>
  <c r="Q461" i="1"/>
  <c r="Q445" i="1"/>
  <c r="Q413" i="1"/>
  <c r="Q381" i="1"/>
  <c r="Q365" i="1"/>
  <c r="Q333" i="1"/>
  <c r="Q317" i="1"/>
  <c r="Q301" i="1"/>
  <c r="Q285" i="1"/>
  <c r="Q269" i="1"/>
  <c r="Q237" i="1"/>
  <c r="Q221" i="1"/>
  <c r="Q205" i="1"/>
  <c r="Q189" i="1"/>
  <c r="Q173" i="1"/>
  <c r="Q141" i="1"/>
  <c r="Q125" i="1"/>
  <c r="Q109" i="1"/>
  <c r="Q93" i="1"/>
  <c r="Q77" i="1"/>
  <c r="Q61" i="1"/>
  <c r="Q45" i="1"/>
  <c r="Q13" i="1"/>
  <c r="Q571" i="1"/>
  <c r="Q555" i="1"/>
  <c r="Q443" i="1"/>
  <c r="Q427" i="1"/>
  <c r="Q315" i="1"/>
  <c r="Q299" i="1"/>
  <c r="Q187" i="1"/>
  <c r="Q171" i="1"/>
  <c r="Q59" i="1"/>
  <c r="Q43" i="1"/>
  <c r="Q746" i="1"/>
  <c r="Q570" i="1"/>
  <c r="Q554" i="1"/>
  <c r="Q442" i="1"/>
  <c r="Q426" i="1"/>
  <c r="Q314" i="1"/>
  <c r="Q298" i="1"/>
  <c r="Q186" i="1"/>
  <c r="Q170" i="1"/>
  <c r="Q58" i="1"/>
  <c r="Q42" i="1"/>
  <c r="Q709" i="1"/>
  <c r="Q693" i="1"/>
  <c r="Q677" i="1"/>
  <c r="Q661" i="1"/>
  <c r="Q517" i="1"/>
  <c r="Q501" i="1"/>
  <c r="Q389" i="1"/>
  <c r="Q373" i="1"/>
  <c r="Q261" i="1"/>
  <c r="Q245" i="1"/>
  <c r="Q133" i="1"/>
  <c r="Q117" i="1"/>
  <c r="Q5" i="1"/>
  <c r="Q692" i="1"/>
  <c r="Q676" i="1"/>
  <c r="Q660" i="1"/>
  <c r="Q644" i="1"/>
  <c r="Q516" i="1"/>
  <c r="Q500" i="1"/>
  <c r="Q388" i="1"/>
  <c r="Q372" i="1"/>
  <c r="Q260" i="1"/>
  <c r="Q244" i="1"/>
  <c r="Q132" i="1"/>
  <c r="Q116" i="1"/>
  <c r="Q100" i="1"/>
  <c r="Q4" i="1"/>
  <c r="Q675" i="1"/>
  <c r="Q659" i="1"/>
  <c r="Q643" i="1"/>
  <c r="Q627" i="1"/>
  <c r="Q595" i="1"/>
  <c r="Q579" i="1"/>
  <c r="Q563" i="1"/>
  <c r="Q547" i="1"/>
  <c r="Q531" i="1"/>
  <c r="Q515" i="1"/>
  <c r="Q499" i="1"/>
  <c r="Q483" i="1"/>
  <c r="Q467" i="1"/>
  <c r="Q451" i="1"/>
  <c r="Q435" i="1"/>
  <c r="Q419" i="1"/>
  <c r="Q403" i="1"/>
  <c r="Q387" i="1"/>
  <c r="Q371" i="1"/>
  <c r="Q355" i="1"/>
  <c r="Q339" i="1"/>
  <c r="Q323" i="1"/>
  <c r="Q307" i="1"/>
  <c r="Q291" i="1"/>
  <c r="Q275" i="1"/>
  <c r="Q259" i="1"/>
  <c r="Q243" i="1"/>
  <c r="Q227" i="1"/>
  <c r="Q211" i="1"/>
  <c r="Q195" i="1"/>
  <c r="Q179" i="1"/>
  <c r="Q163" i="1"/>
  <c r="Q147" i="1"/>
  <c r="Q131" i="1"/>
  <c r="Q115" i="1"/>
  <c r="Q99" i="1"/>
  <c r="Q83" i="1"/>
  <c r="Q67" i="1"/>
  <c r="Q51" i="1"/>
  <c r="Q35" i="1"/>
  <c r="Q19" i="1"/>
  <c r="Q3" i="1"/>
  <c r="Q738" i="1"/>
  <c r="Q722" i="1"/>
  <c r="Q706" i="1"/>
  <c r="Q690" i="1"/>
  <c r="Q674" i="1"/>
  <c r="Q658" i="1"/>
  <c r="Q642" i="1"/>
  <c r="Q626" i="1"/>
  <c r="Q610" i="1"/>
  <c r="Q594" i="1"/>
  <c r="Q578" i="1"/>
  <c r="Q562" i="1"/>
  <c r="Q546" i="1"/>
  <c r="Q530" i="1"/>
  <c r="Q514" i="1"/>
  <c r="Q498" i="1"/>
  <c r="Q482" i="1"/>
  <c r="Q466" i="1"/>
  <c r="Q450" i="1"/>
  <c r="Q434" i="1"/>
  <c r="Q418" i="1"/>
  <c r="Q402" i="1"/>
  <c r="Q386" i="1"/>
  <c r="Q370" i="1"/>
  <c r="Q354" i="1"/>
  <c r="Q338" i="1"/>
  <c r="Q322" i="1"/>
  <c r="Q306" i="1"/>
  <c r="Q290" i="1"/>
  <c r="Q274" i="1"/>
  <c r="Q258" i="1"/>
  <c r="Q242" i="1"/>
  <c r="Q226" i="1"/>
  <c r="Q210" i="1"/>
  <c r="Q194" i="1"/>
  <c r="Q178" i="1"/>
  <c r="Q162" i="1"/>
  <c r="Q146" i="1"/>
  <c r="Q130" i="1"/>
  <c r="Q114" i="1"/>
  <c r="Q98" i="1"/>
  <c r="Q82" i="1"/>
  <c r="Q66" i="1"/>
  <c r="Q50" i="1"/>
  <c r="Q34" i="1"/>
  <c r="Q18" i="1"/>
  <c r="Q2" i="1"/>
</calcChain>
</file>

<file path=xl/sharedStrings.xml><?xml version="1.0" encoding="utf-8"?>
<sst xmlns="http://schemas.openxmlformats.org/spreadsheetml/2006/main" count="6131" uniqueCount="143">
  <si>
    <t>Date</t>
  </si>
  <si>
    <t>Day</t>
  </si>
  <si>
    <t>Month</t>
  </si>
  <si>
    <t>Year</t>
  </si>
  <si>
    <t>Customer_Age</t>
  </si>
  <si>
    <t>Age_Group</t>
  </si>
  <si>
    <t>Country</t>
  </si>
  <si>
    <t>State</t>
  </si>
  <si>
    <t>Sub_Category</t>
  </si>
  <si>
    <t>Product</t>
  </si>
  <si>
    <t>Order_Quantity</t>
  </si>
  <si>
    <t>Unit_Cost</t>
  </si>
  <si>
    <t>Unit_Price</t>
  </si>
  <si>
    <t>October</t>
  </si>
  <si>
    <t>Adults (35-64)</t>
  </si>
  <si>
    <t>United States</t>
  </si>
  <si>
    <t>California</t>
  </si>
  <si>
    <t>Road Bikes</t>
  </si>
  <si>
    <t>Road-550-W Yellow, 40</t>
  </si>
  <si>
    <t>Young Adults (25-34)</t>
  </si>
  <si>
    <t>Canada</t>
  </si>
  <si>
    <t>British Columbia</t>
  </si>
  <si>
    <t>Road-650 Red, 44</t>
  </si>
  <si>
    <t>United Kingdom</t>
  </si>
  <si>
    <t>England</t>
  </si>
  <si>
    <t>Mountain Bikes</t>
  </si>
  <si>
    <t>Mountain-200 Black, 38</t>
  </si>
  <si>
    <t>Australia</t>
  </si>
  <si>
    <t>Queensland</t>
  </si>
  <si>
    <t>Road-350-W Yellow, 40</t>
  </si>
  <si>
    <t>South Australia</t>
  </si>
  <si>
    <t>Mountain-200 Silver, 38</t>
  </si>
  <si>
    <t>Road-650 Red, 62</t>
  </si>
  <si>
    <t>New South Wales</t>
  </si>
  <si>
    <t>Mountain-200 Black, 42</t>
  </si>
  <si>
    <t>Road-150 Red, 56</t>
  </si>
  <si>
    <t>Road-350-W Yellow, 42</t>
  </si>
  <si>
    <t>Road-250 Red, 44</t>
  </si>
  <si>
    <t>Road-150 Red, 52</t>
  </si>
  <si>
    <t>Mountain-500 Black, 44</t>
  </si>
  <si>
    <t>Road-250 Black, 44</t>
  </si>
  <si>
    <t>Road-750 Black, 48</t>
  </si>
  <si>
    <t>Germany</t>
  </si>
  <si>
    <t>Hamburg</t>
  </si>
  <si>
    <t>Road-550-W Yellow, 48</t>
  </si>
  <si>
    <t>Victoria</t>
  </si>
  <si>
    <t>Road-250 Red, 58</t>
  </si>
  <si>
    <t>Washington</t>
  </si>
  <si>
    <t>Mountain-100 Black, 48</t>
  </si>
  <si>
    <t>Youth (&lt;25)</t>
  </si>
  <si>
    <t>France</t>
  </si>
  <si>
    <t>Hauts de Seine</t>
  </si>
  <si>
    <t>Road-250 Black, 58</t>
  </si>
  <si>
    <t>Nord</t>
  </si>
  <si>
    <t>Road-150 Red, 48</t>
  </si>
  <si>
    <t>Road-750 Black, 52</t>
  </si>
  <si>
    <t>Mountain-200 Silver, 42</t>
  </si>
  <si>
    <t>Road-250 Black, 52</t>
  </si>
  <si>
    <t>Nordrhein-Westfalen</t>
  </si>
  <si>
    <t>Road-150 Red, 62</t>
  </si>
  <si>
    <t>Mountain-500 Black, 48</t>
  </si>
  <si>
    <t>Mountain-200 Black, 46</t>
  </si>
  <si>
    <t>Mountain-200 Silver, 46</t>
  </si>
  <si>
    <t>Road-350-W Yellow, 44</t>
  </si>
  <si>
    <t>Road-350-W Yellow, 48</t>
  </si>
  <si>
    <t>Road-550-W Yellow, 38</t>
  </si>
  <si>
    <t>Road-250 Black, 48</t>
  </si>
  <si>
    <t>Mountain-400-W Silver, 38</t>
  </si>
  <si>
    <t>Saarland</t>
  </si>
  <si>
    <t>Loir et Cher</t>
  </si>
  <si>
    <t>Moselle</t>
  </si>
  <si>
    <t>Mountain-500 Silver, 42</t>
  </si>
  <si>
    <t>Mountain-500 Black, 42</t>
  </si>
  <si>
    <t>Road-750 Black, 58</t>
  </si>
  <si>
    <t>Bayern</t>
  </si>
  <si>
    <t>Road-250 Red, 48</t>
  </si>
  <si>
    <t>Tasmania</t>
  </si>
  <si>
    <t>Mountain-500 Silver, 40</t>
  </si>
  <si>
    <t>Road-650 Black, 52</t>
  </si>
  <si>
    <t>Road-150 Red, 44</t>
  </si>
  <si>
    <t>Road-750 Black, 44</t>
  </si>
  <si>
    <t>Road-550-W Yellow, 42</t>
  </si>
  <si>
    <t>Oregon</t>
  </si>
  <si>
    <t>Road-650 Red, 52</t>
  </si>
  <si>
    <t>Mountain-500 Silver, 52</t>
  </si>
  <si>
    <t>Road-250 Red, 52</t>
  </si>
  <si>
    <t>Hessen</t>
  </si>
  <si>
    <t>Val de Marne</t>
  </si>
  <si>
    <t>Road-650 Red, 60</t>
  </si>
  <si>
    <t>Texas</t>
  </si>
  <si>
    <t>Seine Saint Denis</t>
  </si>
  <si>
    <t>Road-550-W Yellow, 44</t>
  </si>
  <si>
    <t>Mountain-400-W Silver, 46</t>
  </si>
  <si>
    <t>Essonne</t>
  </si>
  <si>
    <t>Seine (Paris)</t>
  </si>
  <si>
    <t>Mountain-400-W Silver, 40</t>
  </si>
  <si>
    <t>Loiret</t>
  </si>
  <si>
    <t>Mountain-400-W Silver, 42</t>
  </si>
  <si>
    <t>November</t>
  </si>
  <si>
    <t>Road-650 Red, 48</t>
  </si>
  <si>
    <t>Road-650 Black, 60</t>
  </si>
  <si>
    <t>Seine et Marne</t>
  </si>
  <si>
    <t>Road-650 Red, 58</t>
  </si>
  <si>
    <t>Road-650 Black, 44</t>
  </si>
  <si>
    <t>Road-650 Black, 58</t>
  </si>
  <si>
    <t>Road-650 Black, 48</t>
  </si>
  <si>
    <t>December</t>
  </si>
  <si>
    <t>Brandenburg</t>
  </si>
  <si>
    <t>Road-650 Black, 62</t>
  </si>
  <si>
    <t>Yveline</t>
  </si>
  <si>
    <t>Somme</t>
  </si>
  <si>
    <t>Mountain-100 Black, 38</t>
  </si>
  <si>
    <t>Seniors (64+)</t>
  </si>
  <si>
    <t>Mountain-500 Black, 40</t>
  </si>
  <si>
    <t>Mountain-100 Silver, 44</t>
  </si>
  <si>
    <t>Garonne (Haute)</t>
  </si>
  <si>
    <t>Mountain-500 Black, 52</t>
  </si>
  <si>
    <t>Charente-Maritime</t>
  </si>
  <si>
    <t>Mountain-100 Black, 42</t>
  </si>
  <si>
    <t>Pas de Calais</t>
  </si>
  <si>
    <t>Female</t>
  </si>
  <si>
    <t>CustoMaleer_Gender</t>
  </si>
  <si>
    <t>Male</t>
  </si>
  <si>
    <t>total cost</t>
  </si>
  <si>
    <t>total sales</t>
  </si>
  <si>
    <t>total profit</t>
  </si>
  <si>
    <t>Sum of Order_Quantity</t>
  </si>
  <si>
    <t>Row Labels</t>
  </si>
  <si>
    <t>Grand Total</t>
  </si>
  <si>
    <t>Column Labels</t>
  </si>
  <si>
    <t>Sum of total profit</t>
  </si>
  <si>
    <t>Total</t>
  </si>
  <si>
    <t>Female Total</t>
  </si>
  <si>
    <t>Male Total</t>
  </si>
  <si>
    <t>Count of Sub_Category</t>
  </si>
  <si>
    <t>bike colour</t>
  </si>
  <si>
    <t>yellow</t>
  </si>
  <si>
    <t>red</t>
  </si>
  <si>
    <t>black</t>
  </si>
  <si>
    <t>silver</t>
  </si>
  <si>
    <t xml:space="preserve">category by colour </t>
  </si>
  <si>
    <t xml:space="preserve">Count of category by colour </t>
  </si>
  <si>
    <t>ffff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</si>
</sst>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2">
    <xf numFmtId="0" fontId="0" fillId="0" borderId="0" xfId="0"/>
    <xf numFmtId="14" fontId="0" fillId="0" borderId="0" xfId="0" applyNumberFormat="1"/>
    <xf numFmtId="0" fontId="16" fillId="0" borderId="0" xfId="0" applyFont="1"/>
    <xf numFmtId="164" fontId="16" fillId="0" borderId="0" xfId="42" applyNumberFormat="1" applyFont="1"/>
    <xf numFmtId="164" fontId="0" fillId="0" borderId="0" xfId="42" applyNumberFormat="1" applyFont="1"/>
    <xf numFmtId="164" fontId="16" fillId="0" borderId="0" xfId="0" applyNumberFormat="1" applyFont="1"/>
    <xf numFmtId="164" fontId="0" fillId="0" borderId="0" xfId="0" applyNumberFormat="1"/>
    <xf numFmtId="0" fontId="0" fillId="0" borderId="0" xfId="0" applyAlignment="1">
      <alignment horizontal="right"/>
    </xf>
    <xf numFmtId="49" fontId="0" fillId="0" borderId="0" xfId="0" applyNumberFormat="1" applyAlignment="1">
      <alignment horizontal="left"/>
    </xf>
    <xf numFmtId="0" fontId="0" fillId="0" borderId="0" xfId="0" applyAlignment="1">
      <alignment horizontal="left"/>
    </xf>
    <xf numFmtId="0" fontId="0" fillId="0" borderId="0" xfId="0" pivotButton="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9" formatCode="m/d/yyyy"/>
    </dxf>
    <dxf>
      <font>
        <b/>
        <i val="0"/>
        <strike val="0"/>
        <condense val="0"/>
        <extend val="0"/>
        <outline val="0"/>
        <shadow val="0"/>
        <u val="none"/>
        <vertAlign val="baseline"/>
        <sz val="11"/>
        <color theme="1"/>
        <name val="Calibri"/>
        <family val="2"/>
        <scheme val="minor"/>
      </font>
    </dxf>
  </dxfs>
  <tableStyles count="1" defaultTableStyle="TableStyleMedium2" defaultPivotStyle="PivotStyleLight16">
    <tableStyle name="Slicer Style 1" pivot="0" table="0" count="0" xr9:uid="{5DB7B789-314F-4BDC-BD55-2A246EB659E7}"/>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[Bike_Sales_VLOOKUP (version 1).xlsb.xlsx]Sheet1!PivotTable1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Quantity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tint val="77000"/>
            </a:schemeClr>
          </a:solidFill>
          <a:ln>
            <a:noFill/>
          </a:ln>
          <a:effectLst>
            <a:outerShdw blurRad="254000" sx="102000" sy="102000" algn="ctr" rotWithShape="0">
              <a:prstClr val="black">
                <a:alpha val="20000"/>
              </a:prstClr>
            </a:outerShdw>
          </a:effectLst>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21FCA86-9501-4B45-90A7-18BA3B616969}" type="CATEGORYNAME">
                  <a:rPr lang="en-US"/>
                  <a:pPr>
                    <a:defRPr/>
                  </a:pPr>
                  <a:t>[CATEGORY NAME]</a:t>
                </a:fld>
                <a:r>
                  <a:rPr lang="en-US"/>
                  <a:t>
</a:t>
                </a:r>
                <a:fld id="{971B3028-7D79-4267-857F-B286C5EE9876}" type="PERCENTAGE">
                  <a:rPr lang="en-US"/>
                  <a:pPr>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2"/>
        <c:spPr>
          <a:solidFill>
            <a:schemeClr val="accent1">
              <a:shade val="76000"/>
            </a:schemeClr>
          </a:solidFill>
          <a:ln>
            <a:noFill/>
          </a:ln>
          <a:effectLst>
            <a:outerShdw blurRad="254000" sx="102000" sy="102000" algn="ctr" rotWithShape="0">
              <a:prstClr val="black">
                <a:alpha val="20000"/>
              </a:prstClr>
            </a:outerShdw>
          </a:effectLst>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C0CC1B2-06EE-4098-880B-3C677E5F766C}" type="CATEGORYNAME">
                  <a:rPr lang="en-US"/>
                  <a:pPr>
                    <a:defRPr/>
                  </a:pPr>
                  <a:t>[CATEGORY NAME]</a:t>
                </a:fld>
                <a:r>
                  <a:rPr lang="en-US"/>
                  <a:t>
</a:t>
                </a:r>
                <a:fld id="{67004A13-5482-4D11-ADDA-74EE99A868CA}" type="PERCENTAGE">
                  <a:rPr lang="en-US"/>
                  <a:pPr>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B51-4A28-9724-BA188294F44D}"/>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8B51-4A28-9724-BA188294F44D}"/>
              </c:ext>
            </c:extLst>
          </c:dPt>
          <c:dLbls>
            <c:dLbl>
              <c:idx val="0"/>
              <c:tx>
                <c:rich>
                  <a:bodyPr/>
                  <a:lstStyle/>
                  <a:p>
                    <a:fld id="{7C0CC1B2-06EE-4098-880B-3C677E5F766C}" type="CATEGORYNAME">
                      <a:rPr lang="en-US"/>
                      <a:pPr/>
                      <a:t>[CATEGORY NAME]</a:t>
                    </a:fld>
                    <a:r>
                      <a:rPr lang="en-US"/>
                      <a:t>
</a:t>
                    </a:r>
                    <a:fld id="{67004A13-5482-4D11-ADDA-74EE99A868CA}" type="PERCENTAGE">
                      <a:rPr lang="en-US"/>
                      <a:pPr/>
                      <a:t>[PERCENTAGE]</a:t>
                    </a:fld>
                    <a:endParaRPr lang="en-US"/>
                  </a:p>
                </c:rich>
              </c:tx>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B51-4A28-9724-BA188294F44D}"/>
                </c:ext>
              </c:extLst>
            </c:dLbl>
            <c:dLbl>
              <c:idx val="1"/>
              <c:tx>
                <c:rich>
                  <a:bodyPr/>
                  <a:lstStyle/>
                  <a:p>
                    <a:fld id="{721FCA86-9501-4B45-90A7-18BA3B616969}" type="CATEGORYNAME">
                      <a:rPr lang="en-US"/>
                      <a:pPr/>
                      <a:t>[CATEGORY NAME]</a:t>
                    </a:fld>
                    <a:r>
                      <a:rPr lang="en-US"/>
                      <a:t>
</a:t>
                    </a:r>
                    <a:fld id="{971B3028-7D79-4267-857F-B286C5EE9876}" type="PERCENTAGE">
                      <a:rPr lang="en-US"/>
                      <a:pPr/>
                      <a:t>[PERCENTAGE]</a:t>
                    </a:fld>
                    <a:endParaRPr lang="en-US"/>
                  </a:p>
                </c:rich>
              </c:tx>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B51-4A28-9724-BA188294F44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Sheet1!$A$4:$A$6</c:f>
              <c:strCache>
                <c:ptCount val="2"/>
                <c:pt idx="0">
                  <c:v>Female</c:v>
                </c:pt>
                <c:pt idx="1">
                  <c:v>Male</c:v>
                </c:pt>
              </c:strCache>
            </c:strRef>
          </c:cat>
          <c:val>
            <c:numRef>
              <c:f>Sheet1!$B$4:$B$6</c:f>
              <c:numCache>
                <c:formatCode>General</c:formatCode>
                <c:ptCount val="2"/>
                <c:pt idx="0">
                  <c:v>762</c:v>
                </c:pt>
                <c:pt idx="1">
                  <c:v>721</c:v>
                </c:pt>
              </c:numCache>
            </c:numRef>
          </c:val>
          <c:extLst>
            <c:ext xmlns:c16="http://schemas.microsoft.com/office/drawing/2014/chart" uri="{C3380CC4-5D6E-409C-BE32-E72D297353CC}">
              <c16:uniqueId val="{00000000-8B51-4A28-9724-BA188294F44D}"/>
            </c:ext>
          </c:extLst>
        </c:ser>
        <c:dLbls>
          <c:dLblPos val="ctr"/>
          <c:showLegendKey val="0"/>
          <c:showVal val="0"/>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[Bike_Sales_VLOOKUP (version 1).xlsb.xlsx]Sheet2!PivotTable1</c:name>
    <c:fmtId val="0"/>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  profit by Month</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November</c:v>
                </c:pt>
                <c:pt idx="1">
                  <c:v>October</c:v>
                </c:pt>
                <c:pt idx="2">
                  <c:v>December</c:v>
                </c:pt>
              </c:strCache>
            </c:strRef>
          </c:cat>
          <c:val>
            <c:numRef>
              <c:f>Sheet2!$B$4:$B$7</c:f>
              <c:numCache>
                <c:formatCode>General</c:formatCode>
                <c:ptCount val="3"/>
                <c:pt idx="0">
                  <c:v>149369</c:v>
                </c:pt>
                <c:pt idx="1">
                  <c:v>183964</c:v>
                </c:pt>
                <c:pt idx="2">
                  <c:v>270248</c:v>
                </c:pt>
              </c:numCache>
            </c:numRef>
          </c:val>
          <c:smooth val="0"/>
          <c:extLst>
            <c:ext xmlns:c16="http://schemas.microsoft.com/office/drawing/2014/chart" uri="{C3380CC4-5D6E-409C-BE32-E72D297353CC}">
              <c16:uniqueId val="{00000002-8B8A-469A-BAF6-28C0091C5EB4}"/>
            </c:ext>
          </c:extLst>
        </c:ser>
        <c:dLbls>
          <c:dLblPos val="t"/>
          <c:showLegendKey val="0"/>
          <c:showVal val="1"/>
          <c:showCatName val="0"/>
          <c:showSerName val="0"/>
          <c:showPercent val="0"/>
          <c:showBubbleSize val="0"/>
        </c:dLbls>
        <c:marker val="1"/>
        <c:smooth val="0"/>
        <c:axId val="1552822912"/>
        <c:axId val="1552812352"/>
      </c:lineChart>
      <c:catAx>
        <c:axId val="155282291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552812352"/>
        <c:crosses val="autoZero"/>
        <c:auto val="1"/>
        <c:lblAlgn val="ctr"/>
        <c:lblOffset val="100"/>
        <c:noMultiLvlLbl val="0"/>
      </c:catAx>
      <c:valAx>
        <c:axId val="1552812352"/>
        <c:scaling>
          <c:orientation val="minMax"/>
        </c:scaling>
        <c:delete val="1"/>
        <c:axPos val="l"/>
        <c:numFmt formatCode="General" sourceLinked="1"/>
        <c:majorTickMark val="out"/>
        <c:minorTickMark val="none"/>
        <c:tickLblPos val="nextTo"/>
        <c:crossAx val="1552822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[Bike_Sales_VLOOKUP (version 1).xlsb.xlsx]Sheet3!PivotTable2</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profit by country </a:t>
            </a:r>
          </a:p>
        </c:rich>
      </c:tx>
      <c:layout>
        <c:manualLayout>
          <c:xMode val="edge"/>
          <c:yMode val="edge"/>
          <c:x val="0.43253888814745617"/>
          <c:y val="6.550239750541768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Sheet3!$A$4:$A$10</c:f>
              <c:strCache>
                <c:ptCount val="6"/>
                <c:pt idx="0">
                  <c:v>Australia</c:v>
                </c:pt>
                <c:pt idx="1">
                  <c:v>United States</c:v>
                </c:pt>
                <c:pt idx="2">
                  <c:v>United Kingdom</c:v>
                </c:pt>
                <c:pt idx="3">
                  <c:v>France</c:v>
                </c:pt>
                <c:pt idx="4">
                  <c:v>Germany</c:v>
                </c:pt>
                <c:pt idx="5">
                  <c:v>Canada</c:v>
                </c:pt>
              </c:strCache>
            </c:strRef>
          </c:cat>
          <c:val>
            <c:numRef>
              <c:f>Sheet3!$B$4:$B$10</c:f>
              <c:numCache>
                <c:formatCode>General</c:formatCode>
                <c:ptCount val="6"/>
                <c:pt idx="0">
                  <c:v>225071</c:v>
                </c:pt>
                <c:pt idx="1">
                  <c:v>142450</c:v>
                </c:pt>
                <c:pt idx="2">
                  <c:v>72853</c:v>
                </c:pt>
                <c:pt idx="3">
                  <c:v>71225</c:v>
                </c:pt>
                <c:pt idx="4">
                  <c:v>62678</c:v>
                </c:pt>
                <c:pt idx="5">
                  <c:v>29304</c:v>
                </c:pt>
              </c:numCache>
            </c:numRef>
          </c:val>
          <c:extLst>
            <c:ext xmlns:c16="http://schemas.microsoft.com/office/drawing/2014/chart" uri="{C3380CC4-5D6E-409C-BE32-E72D297353CC}">
              <c16:uniqueId val="{00000000-4FB6-4A6C-92D9-D092B499B503}"/>
            </c:ext>
          </c:extLst>
        </c:ser>
        <c:dLbls>
          <c:showLegendKey val="0"/>
          <c:showVal val="1"/>
          <c:showCatName val="0"/>
          <c:showSerName val="0"/>
          <c:showPercent val="0"/>
          <c:showBubbleSize val="0"/>
        </c:dLbls>
        <c:gapWidth val="150"/>
        <c:shape val="box"/>
        <c:axId val="1552812832"/>
        <c:axId val="1552817632"/>
        <c:axId val="0"/>
      </c:bar3DChart>
      <c:catAx>
        <c:axId val="15528128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552817632"/>
        <c:crosses val="autoZero"/>
        <c:auto val="1"/>
        <c:lblAlgn val="ctr"/>
        <c:lblOffset val="100"/>
        <c:noMultiLvlLbl val="0"/>
      </c:catAx>
      <c:valAx>
        <c:axId val="1552817632"/>
        <c:scaling>
          <c:orientation val="minMax"/>
        </c:scaling>
        <c:delete val="1"/>
        <c:axPos val="b"/>
        <c:numFmt formatCode="General" sourceLinked="1"/>
        <c:majorTickMark val="none"/>
        <c:minorTickMark val="none"/>
        <c:tickLblPos val="nextTo"/>
        <c:crossAx val="155281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[Bike_Sales_VLOOKUP (version 1).xlsb.xlsx]Sheet5!PivotTable3</c:name>
    <c:fmtId val="0"/>
  </c:pivotSource>
  <c:chart>
    <c:title>
      <c:tx>
        <c:rich>
          <a:bodyPr rot="0" spcFirstLastPara="1" vertOverflow="ellipsis" vert="horz" wrap="square" anchor="ctr" anchorCtr="1"/>
          <a:lstStyle/>
          <a:p>
            <a:pPr>
              <a:defRPr sz="1200" b="1" i="0" u="none" strike="noStrike" kern="1200" cap="all" spc="120" normalizeH="0" baseline="0">
                <a:solidFill>
                  <a:schemeClr val="tx1"/>
                </a:solidFill>
                <a:latin typeface="+mn-lt"/>
                <a:ea typeface="+mn-ea"/>
                <a:cs typeface="+mn-cs"/>
              </a:defRPr>
            </a:pPr>
            <a:r>
              <a:rPr lang="en-US"/>
              <a:t>Age Group - Gender - Sales</a:t>
            </a:r>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w="152400" h="50800" prst="softRoun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threePt" dir="t"/>
          </a:scene3d>
          <a:sp3d>
            <a:bevelT w="152400" h="50800" prst="softRound"/>
            <a:contourClr>
              <a:schemeClr val="accent1"/>
            </a:contourClr>
          </a:sp3d>
        </c:spPr>
      </c:pivotFmt>
    </c:pivotFmts>
    <c:view3D>
      <c:rotX val="15"/>
      <c:rotY val="20"/>
      <c:rAngAx val="1"/>
    </c:view3D>
    <c:floor>
      <c:thickness val="0"/>
      <c:spPr>
        <a:noFill/>
        <a:ln>
          <a:noFill/>
        </a:ln>
        <a:effectLst/>
        <a:sp3d/>
      </c:spPr>
    </c:floor>
    <c:sideWall>
      <c:thickness val="0"/>
      <c:spPr>
        <a:noFill/>
        <a:ln>
          <a:noFill/>
        </a:ln>
        <a:effectLst/>
        <a:scene3d>
          <a:camera prst="orthographicFront"/>
          <a:lightRig rig="threePt" dir="t"/>
        </a:scene3d>
        <a:sp3d>
          <a:bevelT/>
        </a:sp3d>
      </c:spPr>
    </c:sideWall>
    <c:backWall>
      <c:thickness val="0"/>
      <c:spPr>
        <a:noFill/>
        <a:ln>
          <a:noFill/>
        </a:ln>
        <a:effectLst/>
        <a:scene3d>
          <a:camera prst="orthographicFront"/>
          <a:lightRig rig="threePt" dir="t"/>
        </a:scene3d>
        <a:sp3d>
          <a:bevelT/>
        </a:sp3d>
      </c:spPr>
    </c:backWall>
    <c:plotArea>
      <c:layout>
        <c:manualLayout>
          <c:layoutTarget val="inner"/>
          <c:xMode val="edge"/>
          <c:yMode val="edge"/>
          <c:x val="0.36357999207899522"/>
          <c:y val="0.13488460083238743"/>
          <c:w val="0.63642000792100473"/>
          <c:h val="0.82727960650775634"/>
        </c:manualLayout>
      </c:layout>
      <c:bar3DChart>
        <c:barDir val="bar"/>
        <c:grouping val="clustered"/>
        <c:varyColors val="0"/>
        <c:ser>
          <c:idx val="0"/>
          <c:order val="0"/>
          <c:tx>
            <c:strRef>
              <c:f>Sheet5!$C$3:$C$4</c:f>
              <c:strCache>
                <c:ptCount val="1"/>
                <c:pt idx="0">
                  <c:v>Total</c:v>
                </c:pt>
              </c:strCache>
            </c:strRef>
          </c:tx>
          <c:spPr>
            <a:solidFill>
              <a:schemeClr val="accent1"/>
            </a:solidFill>
            <a:ln>
              <a:noFill/>
            </a:ln>
            <a:effectLst/>
            <a:scene3d>
              <a:camera prst="orthographicFront"/>
              <a:lightRig rig="threePt" dir="t"/>
            </a:scene3d>
            <a:sp3d>
              <a:bevelT w="152400" h="50800" prst="softRoun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Sheet5!$A$5:$B$14</c:f>
              <c:multiLvlStrCache>
                <c:ptCount val="7"/>
                <c:lvl>
                  <c:pt idx="0">
                    <c:v>Adults (35-64)</c:v>
                  </c:pt>
                  <c:pt idx="1">
                    <c:v>Young Adults (25-34)</c:v>
                  </c:pt>
                  <c:pt idx="2">
                    <c:v>Youth (&lt;25)</c:v>
                  </c:pt>
                  <c:pt idx="3">
                    <c:v>Adults (35-64)</c:v>
                  </c:pt>
                  <c:pt idx="4">
                    <c:v>Young Adults (25-34)</c:v>
                  </c:pt>
                  <c:pt idx="5">
                    <c:v>Youth (&lt;25)</c:v>
                  </c:pt>
                  <c:pt idx="6">
                    <c:v>Seniors (64+)</c:v>
                  </c:pt>
                </c:lvl>
                <c:lvl>
                  <c:pt idx="0">
                    <c:v>Female</c:v>
                  </c:pt>
                  <c:pt idx="3">
                    <c:v>Male</c:v>
                  </c:pt>
                </c:lvl>
              </c:multiLvlStrCache>
            </c:multiLvlStrRef>
          </c:cat>
          <c:val>
            <c:numRef>
              <c:f>Sheet5!$C$5:$C$14</c:f>
              <c:numCache>
                <c:formatCode>General</c:formatCode>
                <c:ptCount val="7"/>
                <c:pt idx="0">
                  <c:v>151404</c:v>
                </c:pt>
                <c:pt idx="1">
                  <c:v>113960</c:v>
                </c:pt>
                <c:pt idx="2">
                  <c:v>44770</c:v>
                </c:pt>
                <c:pt idx="3">
                  <c:v>135531</c:v>
                </c:pt>
                <c:pt idx="4">
                  <c:v>109076</c:v>
                </c:pt>
                <c:pt idx="5">
                  <c:v>47619</c:v>
                </c:pt>
                <c:pt idx="6">
                  <c:v>1221</c:v>
                </c:pt>
              </c:numCache>
            </c:numRef>
          </c:val>
          <c:extLst>
            <c:ext xmlns:c16="http://schemas.microsoft.com/office/drawing/2014/chart" uri="{C3380CC4-5D6E-409C-BE32-E72D297353CC}">
              <c16:uniqueId val="{00000003-21E8-474D-B6E7-8E01A73E5F64}"/>
            </c:ext>
          </c:extLst>
        </c:ser>
        <c:dLbls>
          <c:showLegendKey val="0"/>
          <c:showVal val="1"/>
          <c:showCatName val="0"/>
          <c:showSerName val="0"/>
          <c:showPercent val="0"/>
          <c:showBubbleSize val="0"/>
        </c:dLbls>
        <c:gapWidth val="79"/>
        <c:shape val="box"/>
        <c:axId val="1568468192"/>
        <c:axId val="1568467232"/>
        <c:axId val="0"/>
      </c:bar3DChart>
      <c:catAx>
        <c:axId val="156846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all" spc="120" normalizeH="0" baseline="0">
                <a:solidFill>
                  <a:schemeClr val="tx1"/>
                </a:solidFill>
                <a:latin typeface="+mn-lt"/>
                <a:ea typeface="+mn-ea"/>
                <a:cs typeface="+mn-cs"/>
              </a:defRPr>
            </a:pPr>
            <a:endParaRPr lang="en-US"/>
          </a:p>
        </c:txPr>
        <c:crossAx val="1568467232"/>
        <c:crosses val="autoZero"/>
        <c:auto val="1"/>
        <c:lblAlgn val="ctr"/>
        <c:lblOffset val="100"/>
        <c:noMultiLvlLbl val="0"/>
      </c:catAx>
      <c:valAx>
        <c:axId val="1568467232"/>
        <c:scaling>
          <c:orientation val="minMax"/>
        </c:scaling>
        <c:delete val="1"/>
        <c:axPos val="b"/>
        <c:numFmt formatCode="General" sourceLinked="1"/>
        <c:majorTickMark val="none"/>
        <c:minorTickMark val="none"/>
        <c:tickLblPos val="nextTo"/>
        <c:crossAx val="156846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[Bike_Sales_VLOOKUP (version 1).xlsb.xlsx]Sheet6!PivotTable8</c:name>
    <c:fmtId val="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a:solidFill>
                  <a:schemeClr val="tx1"/>
                </a:solidFill>
              </a:rPr>
              <a:t>State - Category -sales </a:t>
            </a:r>
          </a:p>
        </c:rich>
      </c:tx>
      <c:overlay val="0"/>
      <c:spPr>
        <a:solidFill>
          <a:schemeClr val="bg1"/>
        </a:solid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threePt" dir="t"/>
          </a:scene3d>
          <a:sp3d>
            <a:bevelT prst="slop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a:bevelT prst="slope"/>
          </a:sp3d>
        </c:spPr>
      </c:pivotFmt>
    </c:pivotFmts>
    <c:plotArea>
      <c:layout>
        <c:manualLayout>
          <c:layoutTarget val="inner"/>
          <c:xMode val="edge"/>
          <c:yMode val="edge"/>
          <c:x val="8.514267855437585E-2"/>
          <c:y val="3.6999663639421462E-2"/>
          <c:w val="0.9075070825628605"/>
          <c:h val="0.71104772347452527"/>
        </c:manualLayout>
      </c:layout>
      <c:barChart>
        <c:barDir val="col"/>
        <c:grouping val="clustered"/>
        <c:varyColors val="0"/>
        <c:ser>
          <c:idx val="0"/>
          <c:order val="0"/>
          <c:tx>
            <c:strRef>
              <c:f>Sheet6!$B$3</c:f>
              <c:strCache>
                <c:ptCount val="1"/>
                <c:pt idx="0">
                  <c:v>Total</c:v>
                </c:pt>
              </c:strCache>
            </c:strRef>
          </c:tx>
          <c:spPr>
            <a:solidFill>
              <a:schemeClr val="accent1"/>
            </a:solidFill>
            <a:ln>
              <a:noFill/>
            </a:ln>
            <a:effectLst/>
            <a:scene3d>
              <a:camera prst="orthographicFront"/>
              <a:lightRig rig="threePt" dir="t"/>
            </a:scene3d>
            <a:sp3d>
              <a:bevelT prst="slope"/>
            </a:sp3d>
          </c:spPr>
          <c:invertIfNegative val="0"/>
          <c:dPt>
            <c:idx val="19"/>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Sheet6!$A$4:$A$25</c:f>
              <c:strCache>
                <c:ptCount val="21"/>
                <c:pt idx="0">
                  <c:v>Hauts de Seine</c:v>
                </c:pt>
                <c:pt idx="1">
                  <c:v>Saarland</c:v>
                </c:pt>
                <c:pt idx="2">
                  <c:v>Seine et Marne</c:v>
                </c:pt>
                <c:pt idx="3">
                  <c:v>Moselle</c:v>
                </c:pt>
                <c:pt idx="4">
                  <c:v>Oregon</c:v>
                </c:pt>
                <c:pt idx="5">
                  <c:v>Somme</c:v>
                </c:pt>
                <c:pt idx="6">
                  <c:v>Bayern</c:v>
                </c:pt>
                <c:pt idx="7">
                  <c:v>Seine (Paris)</c:v>
                </c:pt>
                <c:pt idx="8">
                  <c:v>Hamburg</c:v>
                </c:pt>
                <c:pt idx="9">
                  <c:v>Nord</c:v>
                </c:pt>
                <c:pt idx="10">
                  <c:v>British Columbia</c:v>
                </c:pt>
                <c:pt idx="11">
                  <c:v>South Australia</c:v>
                </c:pt>
                <c:pt idx="12">
                  <c:v>Hessen</c:v>
                </c:pt>
                <c:pt idx="13">
                  <c:v>Seine Saint Denis</c:v>
                </c:pt>
                <c:pt idx="14">
                  <c:v>Nordrhein-Westfalen</c:v>
                </c:pt>
                <c:pt idx="15">
                  <c:v>Victoria</c:v>
                </c:pt>
                <c:pt idx="16">
                  <c:v>Queensland</c:v>
                </c:pt>
                <c:pt idx="17">
                  <c:v>England</c:v>
                </c:pt>
                <c:pt idx="18">
                  <c:v>Washington</c:v>
                </c:pt>
                <c:pt idx="19">
                  <c:v>New South Wales</c:v>
                </c:pt>
                <c:pt idx="20">
                  <c:v>California</c:v>
                </c:pt>
              </c:strCache>
            </c:strRef>
          </c:cat>
          <c:val>
            <c:numRef>
              <c:f>Sheet6!$B$4:$B$25</c:f>
              <c:numCache>
                <c:formatCode>General</c:formatCode>
                <c:ptCount val="21"/>
                <c:pt idx="0">
                  <c:v>407</c:v>
                </c:pt>
                <c:pt idx="1">
                  <c:v>407</c:v>
                </c:pt>
                <c:pt idx="2">
                  <c:v>407</c:v>
                </c:pt>
                <c:pt idx="3">
                  <c:v>814</c:v>
                </c:pt>
                <c:pt idx="4">
                  <c:v>1221</c:v>
                </c:pt>
                <c:pt idx="5">
                  <c:v>1221</c:v>
                </c:pt>
                <c:pt idx="6">
                  <c:v>1628</c:v>
                </c:pt>
                <c:pt idx="7">
                  <c:v>1628</c:v>
                </c:pt>
                <c:pt idx="8">
                  <c:v>1628</c:v>
                </c:pt>
                <c:pt idx="9">
                  <c:v>2035</c:v>
                </c:pt>
                <c:pt idx="10">
                  <c:v>2035</c:v>
                </c:pt>
                <c:pt idx="11">
                  <c:v>2035</c:v>
                </c:pt>
                <c:pt idx="12">
                  <c:v>2035</c:v>
                </c:pt>
                <c:pt idx="13">
                  <c:v>2442</c:v>
                </c:pt>
                <c:pt idx="14">
                  <c:v>4070</c:v>
                </c:pt>
                <c:pt idx="15">
                  <c:v>5698</c:v>
                </c:pt>
                <c:pt idx="16">
                  <c:v>7733</c:v>
                </c:pt>
                <c:pt idx="17">
                  <c:v>10175</c:v>
                </c:pt>
                <c:pt idx="18">
                  <c:v>10582</c:v>
                </c:pt>
                <c:pt idx="19">
                  <c:v>17908</c:v>
                </c:pt>
                <c:pt idx="20">
                  <c:v>20350</c:v>
                </c:pt>
              </c:numCache>
            </c:numRef>
          </c:val>
          <c:extLst>
            <c:ext xmlns:c16="http://schemas.microsoft.com/office/drawing/2014/chart" uri="{C3380CC4-5D6E-409C-BE32-E72D297353CC}">
              <c16:uniqueId val="{00000000-1B8E-4659-9FE8-9FD29117EC73}"/>
            </c:ext>
          </c:extLst>
        </c:ser>
        <c:dLbls>
          <c:dLblPos val="outEnd"/>
          <c:showLegendKey val="0"/>
          <c:showVal val="1"/>
          <c:showCatName val="0"/>
          <c:showSerName val="0"/>
          <c:showPercent val="0"/>
          <c:showBubbleSize val="0"/>
        </c:dLbls>
        <c:gapWidth val="219"/>
        <c:overlap val="-27"/>
        <c:axId val="1568462912"/>
        <c:axId val="1568443232"/>
      </c:barChart>
      <c:catAx>
        <c:axId val="156846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443232"/>
        <c:crosses val="autoZero"/>
        <c:auto val="1"/>
        <c:lblAlgn val="ctr"/>
        <c:lblOffset val="100"/>
        <c:noMultiLvlLbl val="0"/>
      </c:catAx>
      <c:valAx>
        <c:axId val="1568443232"/>
        <c:scaling>
          <c:orientation val="minMax"/>
        </c:scaling>
        <c:delete val="1"/>
        <c:axPos val="l"/>
        <c:numFmt formatCode="General" sourceLinked="1"/>
        <c:majorTickMark val="none"/>
        <c:minorTickMark val="none"/>
        <c:tickLblPos val="nextTo"/>
        <c:crossAx val="1568462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[Bike_Sales_VLOOKUP (version 1).xlsb.xlsx]Sheet9!PivotTable9</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Age Group - Sub</a:t>
            </a:r>
            <a:r>
              <a:rPr lang="en-US" b="1" baseline="0">
                <a:solidFill>
                  <a:sysClr val="windowText" lastClr="000000"/>
                </a:solidFill>
              </a:rPr>
              <a:t>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a:scene3d>
            <a:camera prst="orthographicFront"/>
            <a:lightRig rig="threePt" dir="t"/>
          </a:scene3d>
          <a:sp3d>
            <a:bevelT w="114300" prst="artDeco"/>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Sheet9!$B$3:$B$4</c:f>
              <c:strCache>
                <c:ptCount val="1"/>
                <c:pt idx="0">
                  <c:v>Mountain Bikes</c:v>
                </c:pt>
              </c:strCache>
            </c:strRef>
          </c:tx>
          <c:spPr>
            <a:solidFill>
              <a:schemeClr val="accent1">
                <a:lumMod val="60000"/>
                <a:lumOff val="40000"/>
              </a:schemeClr>
            </a:solidFill>
            <a:ln>
              <a:noFill/>
            </a:ln>
            <a:effectLst/>
            <a:scene3d>
              <a:camera prst="orthographicFront"/>
              <a:lightRig rig="threePt" dir="t"/>
            </a:scene3d>
            <a:sp3d>
              <a:bevelT w="114300" prst="artDeco"/>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Sheet9!$A$5:$A$9</c:f>
              <c:strCache>
                <c:ptCount val="4"/>
                <c:pt idx="0">
                  <c:v>Seniors (64+)</c:v>
                </c:pt>
                <c:pt idx="1">
                  <c:v>Youth (&lt;25)</c:v>
                </c:pt>
                <c:pt idx="2">
                  <c:v>Young Adults (25-34)</c:v>
                </c:pt>
                <c:pt idx="3">
                  <c:v>Adults (35-64)</c:v>
                </c:pt>
              </c:strCache>
            </c:strRef>
          </c:cat>
          <c:val>
            <c:numRef>
              <c:f>Sheet9!$B$5:$B$9</c:f>
              <c:numCache>
                <c:formatCode>General</c:formatCode>
                <c:ptCount val="4"/>
                <c:pt idx="1">
                  <c:v>22</c:v>
                </c:pt>
                <c:pt idx="2">
                  <c:v>96</c:v>
                </c:pt>
                <c:pt idx="3">
                  <c:v>114</c:v>
                </c:pt>
              </c:numCache>
            </c:numRef>
          </c:val>
          <c:extLst>
            <c:ext xmlns:c16="http://schemas.microsoft.com/office/drawing/2014/chart" uri="{C3380CC4-5D6E-409C-BE32-E72D297353CC}">
              <c16:uniqueId val="{00000000-61DE-43FC-BEEC-863C8893093B}"/>
            </c:ext>
          </c:extLst>
        </c:ser>
        <c:ser>
          <c:idx val="1"/>
          <c:order val="1"/>
          <c:tx>
            <c:strRef>
              <c:f>Sheet9!$C$3:$C$4</c:f>
              <c:strCache>
                <c:ptCount val="1"/>
                <c:pt idx="0">
                  <c:v>Road Bikes</c:v>
                </c:pt>
              </c:strCache>
            </c:strRef>
          </c:tx>
          <c:spPr>
            <a:solidFill>
              <a:schemeClr val="accent1">
                <a:shade val="76000"/>
              </a:schemeClr>
            </a:solidFill>
            <a:ln>
              <a:noFill/>
            </a:ln>
            <a:effectLst/>
            <a:scene3d>
              <a:camera prst="orthographicFront"/>
              <a:lightRig rig="threePt" dir="t"/>
            </a:scene3d>
            <a:sp3d>
              <a:bevelT w="165100" prst="coolSlan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Sheet9!$A$5:$A$9</c:f>
              <c:strCache>
                <c:ptCount val="4"/>
                <c:pt idx="0">
                  <c:v>Seniors (64+)</c:v>
                </c:pt>
                <c:pt idx="1">
                  <c:v>Youth (&lt;25)</c:v>
                </c:pt>
                <c:pt idx="2">
                  <c:v>Young Adults (25-34)</c:v>
                </c:pt>
                <c:pt idx="3">
                  <c:v>Adults (35-64)</c:v>
                </c:pt>
              </c:strCache>
            </c:strRef>
          </c:cat>
          <c:val>
            <c:numRef>
              <c:f>Sheet9!$C$5:$C$9</c:f>
              <c:numCache>
                <c:formatCode>General</c:formatCode>
                <c:ptCount val="4"/>
                <c:pt idx="0">
                  <c:v>2</c:v>
                </c:pt>
                <c:pt idx="1">
                  <c:v>88</c:v>
                </c:pt>
                <c:pt idx="2">
                  <c:v>182</c:v>
                </c:pt>
                <c:pt idx="3">
                  <c:v>248</c:v>
                </c:pt>
              </c:numCache>
            </c:numRef>
          </c:val>
          <c:extLst>
            <c:ext xmlns:c16="http://schemas.microsoft.com/office/drawing/2014/chart" uri="{C3380CC4-5D6E-409C-BE32-E72D297353CC}">
              <c16:uniqueId val="{00000001-61DE-43FC-BEEC-863C8893093B}"/>
            </c:ext>
          </c:extLst>
        </c:ser>
        <c:dLbls>
          <c:dLblPos val="ctr"/>
          <c:showLegendKey val="0"/>
          <c:showVal val="1"/>
          <c:showCatName val="0"/>
          <c:showSerName val="0"/>
          <c:showPercent val="0"/>
          <c:showBubbleSize val="0"/>
        </c:dLbls>
        <c:gapWidth val="150"/>
        <c:overlap val="100"/>
        <c:axId val="1156563536"/>
        <c:axId val="1156555376"/>
      </c:barChart>
      <c:catAx>
        <c:axId val="115656353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156555376"/>
        <c:crosses val="autoZero"/>
        <c:auto val="1"/>
        <c:lblAlgn val="ctr"/>
        <c:lblOffset val="100"/>
        <c:noMultiLvlLbl val="0"/>
      </c:catAx>
      <c:valAx>
        <c:axId val="115655537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15656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[Bike_Sales_VLOOKUP (version 1).xlsb.xlsx]Sheet7!PivotTable15</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state - category - colour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sp3d/>
        </c:spPr>
      </c:pivotFmt>
      <c:pivotFmt>
        <c:idx val="2"/>
        <c:spPr>
          <a:solidFill>
            <a:schemeClr val="accent1">
              <a:lumMod val="75000"/>
            </a:schemeClr>
          </a:solidFill>
          <a:ln>
            <a:noFill/>
          </a:ln>
          <a:effectLst/>
          <a:sp3d/>
        </c:spPr>
      </c:pivotFmt>
      <c:pivotFmt>
        <c:idx val="3"/>
        <c:spPr>
          <a:solidFill>
            <a:schemeClr val="accent1">
              <a:lumMod val="75000"/>
            </a:schemeClr>
          </a:solidFill>
          <a:ln>
            <a:noFill/>
          </a:ln>
          <a:effectLst/>
          <a:sp3d/>
        </c:spPr>
      </c:pivotFmt>
      <c:pivotFmt>
        <c:idx val="4"/>
        <c:spPr>
          <a:solidFill>
            <a:schemeClr val="accent1">
              <a:lumMod val="75000"/>
            </a:schemeClr>
          </a:solidFill>
          <a:ln>
            <a:noFill/>
          </a:ln>
          <a:effectLst/>
          <a:sp3d/>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9</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3997276373325775E-2"/>
                  <c:h val="5.478407781275442E-2"/>
                </c:manualLayout>
              </c15:layout>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Sheet7!$B$3</c:f>
              <c:strCache>
                <c:ptCount val="1"/>
                <c:pt idx="0">
                  <c:v>Total</c:v>
                </c:pt>
              </c:strCache>
            </c:strRef>
          </c:tx>
          <c:spPr>
            <a:solidFill>
              <a:schemeClr val="accent1">
                <a:lumMod val="75000"/>
              </a:schemeClr>
            </a:solidFill>
            <a:ln>
              <a:noFill/>
            </a:ln>
            <a:effectLst/>
            <a:sp3d/>
          </c:spPr>
          <c:invertIfNegative val="0"/>
          <c:dLbls>
            <c:dLbl>
              <c:idx val="19"/>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9</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3997276373325775E-2"/>
                      <c:h val="5.478407781275442E-2"/>
                    </c:manualLayout>
                  </c15:layout>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Sheet7!$A$4:$A$25</c:f>
              <c:strCache>
                <c:ptCount val="21"/>
                <c:pt idx="0">
                  <c:v>Bayern</c:v>
                </c:pt>
                <c:pt idx="1">
                  <c:v>Somme</c:v>
                </c:pt>
                <c:pt idx="2">
                  <c:v>Saarland</c:v>
                </c:pt>
                <c:pt idx="3">
                  <c:v>Moselle</c:v>
                </c:pt>
                <c:pt idx="4">
                  <c:v>Seine (Paris)</c:v>
                </c:pt>
                <c:pt idx="5">
                  <c:v>Hauts de Seine</c:v>
                </c:pt>
                <c:pt idx="6">
                  <c:v>Seine et Marne</c:v>
                </c:pt>
                <c:pt idx="7">
                  <c:v>Nord</c:v>
                </c:pt>
                <c:pt idx="8">
                  <c:v>Hamburg</c:v>
                </c:pt>
                <c:pt idx="9">
                  <c:v>Oregon</c:v>
                </c:pt>
                <c:pt idx="10">
                  <c:v>Hessen</c:v>
                </c:pt>
                <c:pt idx="11">
                  <c:v>British Columbia</c:v>
                </c:pt>
                <c:pt idx="12">
                  <c:v>Seine Saint Denis</c:v>
                </c:pt>
                <c:pt idx="13">
                  <c:v>South Australia</c:v>
                </c:pt>
                <c:pt idx="14">
                  <c:v>Nordrhein-Westfalen</c:v>
                </c:pt>
                <c:pt idx="15">
                  <c:v>Queensland</c:v>
                </c:pt>
                <c:pt idx="16">
                  <c:v>Victoria</c:v>
                </c:pt>
                <c:pt idx="17">
                  <c:v>England</c:v>
                </c:pt>
                <c:pt idx="18">
                  <c:v>Washington</c:v>
                </c:pt>
                <c:pt idx="19">
                  <c:v>New South Wales</c:v>
                </c:pt>
                <c:pt idx="20">
                  <c:v>California</c:v>
                </c:pt>
              </c:strCache>
            </c:strRef>
          </c:cat>
          <c:val>
            <c:numRef>
              <c:f>Sheet7!$B$4:$B$25</c:f>
              <c:numCache>
                <c:formatCode>General</c:formatCode>
                <c:ptCount val="21"/>
                <c:pt idx="0">
                  <c:v>1</c:v>
                </c:pt>
                <c:pt idx="1">
                  <c:v>1</c:v>
                </c:pt>
                <c:pt idx="2">
                  <c:v>1</c:v>
                </c:pt>
                <c:pt idx="3">
                  <c:v>1</c:v>
                </c:pt>
                <c:pt idx="4">
                  <c:v>1</c:v>
                </c:pt>
                <c:pt idx="5">
                  <c:v>1</c:v>
                </c:pt>
                <c:pt idx="6">
                  <c:v>1</c:v>
                </c:pt>
                <c:pt idx="7">
                  <c:v>2</c:v>
                </c:pt>
                <c:pt idx="8">
                  <c:v>2</c:v>
                </c:pt>
                <c:pt idx="9">
                  <c:v>2</c:v>
                </c:pt>
                <c:pt idx="10">
                  <c:v>2</c:v>
                </c:pt>
                <c:pt idx="11">
                  <c:v>2</c:v>
                </c:pt>
                <c:pt idx="12">
                  <c:v>2</c:v>
                </c:pt>
                <c:pt idx="13">
                  <c:v>3</c:v>
                </c:pt>
                <c:pt idx="14">
                  <c:v>5</c:v>
                </c:pt>
                <c:pt idx="15">
                  <c:v>10</c:v>
                </c:pt>
                <c:pt idx="16">
                  <c:v>11</c:v>
                </c:pt>
                <c:pt idx="17">
                  <c:v>14</c:v>
                </c:pt>
                <c:pt idx="18">
                  <c:v>15</c:v>
                </c:pt>
                <c:pt idx="19">
                  <c:v>20</c:v>
                </c:pt>
                <c:pt idx="20">
                  <c:v>22</c:v>
                </c:pt>
              </c:numCache>
            </c:numRef>
          </c:val>
          <c:extLst>
            <c:ext xmlns:c16="http://schemas.microsoft.com/office/drawing/2014/chart" uri="{C3380CC4-5D6E-409C-BE32-E72D297353CC}">
              <c16:uniqueId val="{00000000-F43A-4BA3-AE03-E1BF149ACE52}"/>
            </c:ext>
          </c:extLst>
        </c:ser>
        <c:dLbls>
          <c:showLegendKey val="0"/>
          <c:showVal val="1"/>
          <c:showCatName val="0"/>
          <c:showSerName val="0"/>
          <c:showPercent val="0"/>
          <c:showBubbleSize val="0"/>
        </c:dLbls>
        <c:gapWidth val="150"/>
        <c:shape val="box"/>
        <c:axId val="1795388384"/>
        <c:axId val="1795388864"/>
        <c:axId val="0"/>
      </c:bar3DChart>
      <c:catAx>
        <c:axId val="1795388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95388864"/>
        <c:crosses val="autoZero"/>
        <c:auto val="1"/>
        <c:lblAlgn val="ctr"/>
        <c:lblOffset val="100"/>
        <c:noMultiLvlLbl val="0"/>
      </c:catAx>
      <c:valAx>
        <c:axId val="1795388864"/>
        <c:scaling>
          <c:orientation val="minMax"/>
        </c:scaling>
        <c:delete val="1"/>
        <c:axPos val="l"/>
        <c:numFmt formatCode="General" sourceLinked="1"/>
        <c:majorTickMark val="none"/>
        <c:minorTickMark val="none"/>
        <c:tickLblPos val="nextTo"/>
        <c:crossAx val="179538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[Bike_Sales_VLOOKUP (version 1).xlsb.xlsx]Sheet1!PivotTable1</c:name>
    <c:fmtId val="13"/>
  </c:pivotSource>
  <c:chart>
    <c:title>
      <c:tx>
        <c:rich>
          <a:bodyPr rot="0" spcFirstLastPara="1" vertOverflow="ellipsis" vert="horz" wrap="square" anchor="ctr" anchorCtr="1"/>
          <a:lstStyle/>
          <a:p>
            <a:pPr>
              <a:defRPr sz="9600" b="1" i="0" u="none" strike="noStrike" kern="1200" baseline="0">
                <a:solidFill>
                  <a:schemeClr val="tx1"/>
                </a:solidFill>
                <a:latin typeface="Amasis MT Pro Black" panose="02040A04050005020304" pitchFamily="18" charset="0"/>
                <a:ea typeface="+mn-ea"/>
                <a:cs typeface="+mn-cs"/>
              </a:defRPr>
            </a:pPr>
            <a:r>
              <a:rPr lang="en-US" sz="9600">
                <a:solidFill>
                  <a:schemeClr val="tx1"/>
                </a:solidFill>
                <a:latin typeface="Amasis MT Pro Black" panose="02040A04050005020304" pitchFamily="18" charset="0"/>
              </a:rPr>
              <a:t> Quantity by Gender</a:t>
            </a:r>
          </a:p>
        </c:rich>
      </c:tx>
      <c:overlay val="0"/>
      <c:spPr>
        <a:noFill/>
        <a:ln>
          <a:noFill/>
        </a:ln>
        <a:effectLst/>
      </c:spPr>
      <c:txPr>
        <a:bodyPr rot="0" spcFirstLastPara="1" vertOverflow="ellipsis" vert="horz" wrap="square" anchor="ctr" anchorCtr="1"/>
        <a:lstStyle/>
        <a:p>
          <a:pPr>
            <a:defRPr sz="9600" b="1" i="0" u="none" strike="noStrike" kern="1200" baseline="0">
              <a:solidFill>
                <a:schemeClr val="tx1"/>
              </a:solidFill>
              <a:latin typeface="Amasis MT Pro Black" panose="02040A04050005020304" pitchFamily="18" charset="0"/>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tint val="77000"/>
            </a:schemeClr>
          </a:solidFill>
          <a:ln>
            <a:noFill/>
          </a:ln>
          <a:effectLst>
            <a:outerShdw blurRad="254000" sx="102000" sy="102000" algn="ctr" rotWithShape="0">
              <a:prstClr val="black">
                <a:alpha val="20000"/>
              </a:prstClr>
            </a:outerShdw>
          </a:effectLst>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21FCA86-9501-4B45-90A7-18BA3B616969}" type="CATEGORYNAME">
                  <a:rPr lang="en-US"/>
                  <a:pPr>
                    <a:defRPr sz="1000" b="1" i="0" u="none" strike="noStrike" kern="1200" baseline="0">
                      <a:solidFill>
                        <a:schemeClr val="lt1"/>
                      </a:solidFill>
                      <a:latin typeface="+mn-lt"/>
                      <a:ea typeface="+mn-ea"/>
                      <a:cs typeface="+mn-cs"/>
                    </a:defRPr>
                  </a:pPr>
                  <a:t>[CATEGORY NAME]</a:t>
                </a:fld>
                <a:r>
                  <a:rPr lang="en-US"/>
                  <a:t>
</a:t>
                </a:r>
                <a:fld id="{971B3028-7D79-4267-857F-B286C5EE9876}" type="PERCENTAGE">
                  <a:rPr lang="en-US"/>
                  <a:pPr>
                    <a:defRPr sz="1000" b="1" i="0" u="none" strike="noStrike" kern="1200" baseline="0">
                      <a:solidFill>
                        <a:schemeClr val="lt1"/>
                      </a:solidFill>
                      <a:latin typeface="+mn-lt"/>
                      <a:ea typeface="+mn-ea"/>
                      <a:cs typeface="+mn-cs"/>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2"/>
        <c:spPr>
          <a:solidFill>
            <a:schemeClr val="accent1">
              <a:shade val="76000"/>
            </a:schemeClr>
          </a:solidFill>
          <a:ln>
            <a:noFill/>
          </a:ln>
          <a:effectLst>
            <a:outerShdw blurRad="254000" sx="102000" sy="102000" algn="ctr" rotWithShape="0">
              <a:prstClr val="black">
                <a:alpha val="20000"/>
              </a:prstClr>
            </a:outerShdw>
          </a:effectLst>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C0CC1B2-06EE-4098-880B-3C677E5F766C}" type="CATEGORYNAME">
                  <a:rPr lang="en-US"/>
                  <a:pPr>
                    <a:defRPr sz="1000" b="1" i="0" u="none" strike="noStrike" kern="1200" baseline="0">
                      <a:solidFill>
                        <a:schemeClr val="lt1"/>
                      </a:solidFill>
                      <a:latin typeface="+mn-lt"/>
                      <a:ea typeface="+mn-ea"/>
                      <a:cs typeface="+mn-cs"/>
                    </a:defRPr>
                  </a:pPr>
                  <a:t>[CATEGORY NAME]</a:t>
                </a:fld>
                <a:r>
                  <a:rPr lang="en-US"/>
                  <a:t>
</a:t>
                </a:r>
                <a:fld id="{67004A13-5482-4D11-ADDA-74EE99A868CA}" type="PERCENTAGE">
                  <a:rPr lang="en-US"/>
                  <a:pPr>
                    <a:defRPr sz="1000" b="1" i="0" u="none" strike="noStrike" kern="1200" baseline="0">
                      <a:solidFill>
                        <a:schemeClr val="lt1"/>
                      </a:solidFill>
                      <a:latin typeface="+mn-lt"/>
                      <a:ea typeface="+mn-ea"/>
                      <a:cs typeface="+mn-cs"/>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hade val="76000"/>
            </a:schemeClr>
          </a:solidFill>
          <a:ln>
            <a:noFill/>
          </a:ln>
          <a:effectLst>
            <a:outerShdw blurRad="254000" sx="102000" sy="102000" algn="ctr" rotWithShape="0">
              <a:prstClr val="black">
                <a:alpha val="20000"/>
              </a:prstClr>
            </a:outerShdw>
          </a:effectLst>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C0CC1B2-06EE-4098-880B-3C677E5F766C}" type="CATEGORYNAME">
                  <a:rPr lang="en-US"/>
                  <a:pPr>
                    <a:defRPr sz="1000" b="1" i="0" u="none" strike="noStrike" kern="1200" baseline="0">
                      <a:solidFill>
                        <a:schemeClr val="lt1"/>
                      </a:solidFill>
                      <a:latin typeface="+mn-lt"/>
                      <a:ea typeface="+mn-ea"/>
                      <a:cs typeface="+mn-cs"/>
                    </a:defRPr>
                  </a:pPr>
                  <a:t>[CATEGORY NAME]</a:t>
                </a:fld>
                <a:r>
                  <a:rPr lang="en-US"/>
                  <a:t>
</a:t>
                </a:r>
                <a:fld id="{67004A13-5482-4D11-ADDA-74EE99A868CA}" type="PERCENTAGE">
                  <a:rPr lang="en-US"/>
                  <a:pPr>
                    <a:defRPr sz="1000" b="1" i="0" u="none" strike="noStrike" kern="1200" baseline="0">
                      <a:solidFill>
                        <a:schemeClr val="lt1"/>
                      </a:solidFill>
                      <a:latin typeface="+mn-lt"/>
                      <a:ea typeface="+mn-ea"/>
                      <a:cs typeface="+mn-cs"/>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5"/>
        <c:spPr>
          <a:solidFill>
            <a:schemeClr val="accent1">
              <a:tint val="77000"/>
            </a:schemeClr>
          </a:solidFill>
          <a:ln>
            <a:noFill/>
          </a:ln>
          <a:effectLst>
            <a:outerShdw blurRad="254000" sx="102000" sy="102000" algn="ctr" rotWithShape="0">
              <a:prstClr val="black">
                <a:alpha val="20000"/>
              </a:prstClr>
            </a:outerShdw>
          </a:effectLst>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21FCA86-9501-4B45-90A7-18BA3B616969}" type="CATEGORYNAME">
                  <a:rPr lang="en-US"/>
                  <a:pPr>
                    <a:defRPr sz="1000" b="1" i="0" u="none" strike="noStrike" kern="1200" baseline="0">
                      <a:solidFill>
                        <a:schemeClr val="lt1"/>
                      </a:solidFill>
                      <a:latin typeface="+mn-lt"/>
                      <a:ea typeface="+mn-ea"/>
                      <a:cs typeface="+mn-cs"/>
                    </a:defRPr>
                  </a:pPr>
                  <a:t>[CATEGORY NAME]</a:t>
                </a:fld>
                <a:r>
                  <a:rPr lang="en-US"/>
                  <a:t>
</a:t>
                </a:r>
                <a:fld id="{971B3028-7D79-4267-857F-B286C5EE9876}" type="PERCENTAGE">
                  <a:rPr lang="en-US"/>
                  <a:pPr>
                    <a:defRPr sz="1000" b="1" i="0" u="none" strike="noStrike" kern="1200" baseline="0">
                      <a:solidFill>
                        <a:schemeClr val="lt1"/>
                      </a:solidFill>
                      <a:latin typeface="+mn-lt"/>
                      <a:ea typeface="+mn-ea"/>
                      <a:cs typeface="+mn-cs"/>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8800" b="1" i="0" u="none" strike="noStrike" kern="1200" baseline="0">
                  <a:solidFill>
                    <a:schemeClr val="lt1"/>
                  </a:solidFill>
                  <a:latin typeface="Amasis MT Pro Black" panose="02040A04050005020304" pitchFamily="18" charset="0"/>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hade val="76000"/>
            </a:schemeClr>
          </a:solidFill>
          <a:ln>
            <a:noFill/>
          </a:ln>
          <a:effectLst>
            <a:outerShdw blurRad="254000" sx="102000" sy="102000" algn="ctr" rotWithShape="0">
              <a:prstClr val="black">
                <a:alpha val="20000"/>
              </a:prstClr>
            </a:outerShdw>
          </a:effectLst>
          <a:sp3d/>
        </c:spPr>
        <c:dLbl>
          <c:idx val="0"/>
          <c:layout>
            <c:manualLayout>
              <c:x val="-0.29828952015947313"/>
              <c:y val="-6.202589303902524E-2"/>
            </c:manualLayout>
          </c:layout>
          <c:tx>
            <c:rich>
              <a:bodyPr rot="0" spcFirstLastPara="1" vertOverflow="clip" horzOverflow="clip" vert="horz" wrap="square" lIns="38100" tIns="19050" rIns="38100" bIns="19050" anchor="ctr" anchorCtr="1">
                <a:spAutoFit/>
              </a:bodyPr>
              <a:lstStyle/>
              <a:p>
                <a:pPr>
                  <a:defRPr sz="8800" b="1" i="0" u="none" strike="noStrike" kern="1200" baseline="0">
                    <a:solidFill>
                      <a:schemeClr val="lt1"/>
                    </a:solidFill>
                    <a:latin typeface="Amasis MT Pro Black" panose="02040A04050005020304" pitchFamily="18" charset="0"/>
                    <a:ea typeface="+mn-ea"/>
                    <a:cs typeface="+mn-cs"/>
                  </a:defRPr>
                </a:pPr>
                <a:fld id="{7C0CC1B2-06EE-4098-880B-3C677E5F766C}" type="CATEGORYNAME">
                  <a:rPr lang="en-US" sz="8000"/>
                  <a:pPr>
                    <a:defRPr sz="8800">
                      <a:latin typeface="Amasis MT Pro Black" panose="02040A04050005020304" pitchFamily="18" charset="0"/>
                    </a:defRPr>
                  </a:pPr>
                  <a:t>[CATEGORY NAME]</a:t>
                </a:fld>
                <a:r>
                  <a:rPr lang="en-US" sz="7200"/>
                  <a:t>
</a:t>
                </a:r>
                <a:fld id="{67004A13-5482-4D11-ADDA-74EE99A868CA}" type="PERCENTAGE">
                  <a:rPr lang="en-US" sz="8800"/>
                  <a:pPr>
                    <a:defRPr sz="8800">
                      <a:latin typeface="Amasis MT Pro Black" panose="02040A04050005020304" pitchFamily="18" charset="0"/>
                    </a:defRPr>
                  </a:pPr>
                  <a:t>[PERCENTAGE]</a:t>
                </a:fld>
                <a:endParaRPr lang="en-US" sz="720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8800" b="1" i="0" u="none" strike="noStrike" kern="1200" baseline="0">
                  <a:solidFill>
                    <a:schemeClr val="lt1"/>
                  </a:solidFill>
                  <a:latin typeface="Amasis MT Pro Black" panose="02040A040500050203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1271387038630296"/>
                  <c:h val="0.20610620314764605"/>
                </c:manualLayout>
              </c15:layout>
              <c15:dlblFieldTable/>
              <c15:showDataLabelsRange val="0"/>
            </c:ext>
          </c:extLst>
        </c:dLbl>
      </c:pivotFmt>
      <c:pivotFmt>
        <c:idx val="8"/>
        <c:spPr>
          <a:solidFill>
            <a:schemeClr val="accent1">
              <a:tint val="77000"/>
            </a:schemeClr>
          </a:solidFill>
          <a:ln>
            <a:noFill/>
          </a:ln>
          <a:effectLst>
            <a:outerShdw blurRad="254000" sx="102000" sy="102000" algn="ctr" rotWithShape="0">
              <a:prstClr val="black">
                <a:alpha val="20000"/>
              </a:prstClr>
            </a:outerShdw>
          </a:effectLst>
          <a:sp3d/>
        </c:spPr>
        <c:dLbl>
          <c:idx val="0"/>
          <c:layout>
            <c:manualLayout>
              <c:x val="0.13310721870098108"/>
              <c:y val="3.156674025296205E-2"/>
            </c:manualLayout>
          </c:layout>
          <c:tx>
            <c:rich>
              <a:bodyPr rot="0" spcFirstLastPara="1" vertOverflow="clip" horzOverflow="clip" vert="horz" wrap="square" lIns="38100" tIns="19050" rIns="38100" bIns="19050" anchor="ctr" anchorCtr="1">
                <a:spAutoFit/>
              </a:bodyPr>
              <a:lstStyle/>
              <a:p>
                <a:pPr>
                  <a:defRPr sz="8800" b="1" i="0" u="none" strike="noStrike" kern="1200" baseline="0">
                    <a:solidFill>
                      <a:schemeClr val="lt1"/>
                    </a:solidFill>
                    <a:latin typeface="Amasis MT Pro Black" panose="02040A04050005020304" pitchFamily="18" charset="0"/>
                    <a:ea typeface="+mn-ea"/>
                    <a:cs typeface="+mn-cs"/>
                  </a:defRPr>
                </a:pPr>
                <a:fld id="{721FCA86-9501-4B45-90A7-18BA3B616969}" type="CATEGORYNAME">
                  <a:rPr lang="en-US" sz="7200" b="1"/>
                  <a:pPr>
                    <a:defRPr sz="8800">
                      <a:latin typeface="Amasis MT Pro Black" panose="02040A04050005020304" pitchFamily="18" charset="0"/>
                    </a:defRPr>
                  </a:pPr>
                  <a:t>[CATEGORY NAME]</a:t>
                </a:fld>
                <a:r>
                  <a:rPr lang="en-US" sz="7200"/>
                  <a:t>
</a:t>
                </a:r>
                <a:fld id="{971B3028-7D79-4267-857F-B286C5EE9876}" type="PERCENTAGE">
                  <a:rPr lang="en-US" sz="7200"/>
                  <a:pPr>
                    <a:defRPr sz="8800">
                      <a:latin typeface="Amasis MT Pro Black" panose="02040A04050005020304" pitchFamily="18" charset="0"/>
                    </a:defRPr>
                  </a:pPr>
                  <a:t>[PERCENTAGE]</a:t>
                </a:fld>
                <a:endParaRPr lang="en-US" sz="720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8800" b="1" i="0" u="none" strike="noStrike" kern="1200" baseline="0">
                  <a:solidFill>
                    <a:schemeClr val="lt1"/>
                  </a:solidFill>
                  <a:latin typeface="Amasis MT Pro Black" panose="02040A04050005020304"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009907293495407"/>
                  <c:h val="0.19200016646477092"/>
                </c:manualLayout>
              </c15:layout>
              <c15:dlblFieldTable/>
              <c15:showDataLabelsRange val="0"/>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CE8-46D5-AE91-CC788EF6B2BE}"/>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CE8-46D5-AE91-CC788EF6B2BE}"/>
              </c:ext>
            </c:extLst>
          </c:dPt>
          <c:dLbls>
            <c:dLbl>
              <c:idx val="0"/>
              <c:layout>
                <c:manualLayout>
                  <c:x val="-0.29828952015947313"/>
                  <c:y val="-6.202589303902524E-2"/>
                </c:manualLayout>
              </c:layout>
              <c:tx>
                <c:rich>
                  <a:bodyPr/>
                  <a:lstStyle/>
                  <a:p>
                    <a:fld id="{7C0CC1B2-06EE-4098-880B-3C677E5F766C}" type="CATEGORYNAME">
                      <a:rPr lang="en-US" sz="8000"/>
                      <a:pPr/>
                      <a:t>[CATEGORY NAME]</a:t>
                    </a:fld>
                    <a:r>
                      <a:rPr lang="en-US" sz="7200"/>
                      <a:t>
</a:t>
                    </a:r>
                    <a:fld id="{67004A13-5482-4D11-ADDA-74EE99A868CA}" type="PERCENTAGE">
                      <a:rPr lang="en-US" sz="8800"/>
                      <a:pPr/>
                      <a:t>[PERCENTAGE]</a:t>
                    </a:fld>
                    <a:endParaRPr lang="en-US" sz="7200"/>
                  </a:p>
                </c:rich>
              </c:tx>
              <c:dLblPos val="bestFit"/>
              <c:showLegendKey val="0"/>
              <c:showVal val="0"/>
              <c:showCatName val="1"/>
              <c:showSerName val="0"/>
              <c:showPercent val="1"/>
              <c:showBubbleSize val="0"/>
              <c:extLst>
                <c:ext xmlns:c15="http://schemas.microsoft.com/office/drawing/2012/chart" uri="{CE6537A1-D6FC-4f65-9D91-7224C49458BB}">
                  <c15:layout>
                    <c:manualLayout>
                      <c:w val="0.21271387038630296"/>
                      <c:h val="0.20610620314764605"/>
                    </c:manualLayout>
                  </c15:layout>
                  <c15:dlblFieldTable/>
                  <c15:showDataLabelsRange val="0"/>
                </c:ext>
                <c:ext xmlns:c16="http://schemas.microsoft.com/office/drawing/2014/chart" uri="{C3380CC4-5D6E-409C-BE32-E72D297353CC}">
                  <c16:uniqueId val="{00000001-7CE8-46D5-AE91-CC788EF6B2BE}"/>
                </c:ext>
              </c:extLst>
            </c:dLbl>
            <c:dLbl>
              <c:idx val="1"/>
              <c:layout>
                <c:manualLayout>
                  <c:x val="0.13310721870098108"/>
                  <c:y val="3.156674025296205E-2"/>
                </c:manualLayout>
              </c:layout>
              <c:tx>
                <c:rich>
                  <a:bodyPr/>
                  <a:lstStyle/>
                  <a:p>
                    <a:fld id="{721FCA86-9501-4B45-90A7-18BA3B616969}" type="CATEGORYNAME">
                      <a:rPr lang="en-US" sz="7200" b="1"/>
                      <a:pPr/>
                      <a:t>[CATEGORY NAME]</a:t>
                    </a:fld>
                    <a:r>
                      <a:rPr lang="en-US" sz="7200"/>
                      <a:t>
</a:t>
                    </a:r>
                    <a:fld id="{971B3028-7D79-4267-857F-B286C5EE9876}" type="PERCENTAGE">
                      <a:rPr lang="en-US" sz="7200"/>
                      <a:pPr/>
                      <a:t>[PERCENTAGE]</a:t>
                    </a:fld>
                    <a:endParaRPr lang="en-US" sz="7200"/>
                  </a:p>
                </c:rich>
              </c:tx>
              <c:dLblPos val="bestFit"/>
              <c:showLegendKey val="0"/>
              <c:showVal val="0"/>
              <c:showCatName val="1"/>
              <c:showSerName val="0"/>
              <c:showPercent val="1"/>
              <c:showBubbleSize val="0"/>
              <c:extLst>
                <c:ext xmlns:c15="http://schemas.microsoft.com/office/drawing/2012/chart" uri="{CE6537A1-D6FC-4f65-9D91-7224C49458BB}">
                  <c15:layout>
                    <c:manualLayout>
                      <c:w val="0.22009907293495407"/>
                      <c:h val="0.19200016646477092"/>
                    </c:manualLayout>
                  </c15:layout>
                  <c15:dlblFieldTable/>
                  <c15:showDataLabelsRange val="0"/>
                </c:ext>
                <c:ext xmlns:c16="http://schemas.microsoft.com/office/drawing/2014/chart" uri="{C3380CC4-5D6E-409C-BE32-E72D297353CC}">
                  <c16:uniqueId val="{00000003-7CE8-46D5-AE91-CC788EF6B2BE}"/>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8800" b="1" i="0" u="none" strike="noStrike" kern="1200" baseline="0">
                    <a:solidFill>
                      <a:schemeClr val="lt1"/>
                    </a:solidFill>
                    <a:latin typeface="Amasis MT Pro Black" panose="02040A04050005020304" pitchFamily="18" charset="0"/>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Sheet1!$A$4:$A$6</c:f>
              <c:strCache>
                <c:ptCount val="2"/>
                <c:pt idx="0">
                  <c:v>Female</c:v>
                </c:pt>
                <c:pt idx="1">
                  <c:v>Male</c:v>
                </c:pt>
              </c:strCache>
            </c:strRef>
          </c:cat>
          <c:val>
            <c:numRef>
              <c:f>Sheet1!$B$4:$B$6</c:f>
              <c:numCache>
                <c:formatCode>General</c:formatCode>
                <c:ptCount val="2"/>
                <c:pt idx="0">
                  <c:v>762</c:v>
                </c:pt>
                <c:pt idx="1">
                  <c:v>721</c:v>
                </c:pt>
              </c:numCache>
            </c:numRef>
          </c:val>
          <c:extLst>
            <c:ext xmlns:c16="http://schemas.microsoft.com/office/drawing/2014/chart" uri="{C3380CC4-5D6E-409C-BE32-E72D297353CC}">
              <c16:uniqueId val="{00000004-7CE8-46D5-AE91-CC788EF6B2BE}"/>
            </c:ext>
          </c:extLst>
        </c:ser>
        <c:dLbls>
          <c:dLblPos val="ctr"/>
          <c:showLegendKey val="0"/>
          <c:showVal val="0"/>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8000" b="1" i="0" u="none" strike="noStrike" kern="1200" baseline="0">
              <a:solidFill>
                <a:schemeClr val="dk1">
                  <a:lumMod val="75000"/>
                  <a:lumOff val="25000"/>
                </a:schemeClr>
              </a:solidFill>
              <a:latin typeface="Amasis MT Pro Black" panose="02040A04050005020304"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[Bike_Sales_VLOOKUP (version 1).xlsb.xlsx]Sheet2!PivotTable1</c:name>
    <c:fmtId val="11"/>
  </c:pivotSource>
  <c:chart>
    <c:title>
      <c:tx>
        <c:rich>
          <a:bodyPr rot="0" spcFirstLastPara="1" vertOverflow="ellipsis" vert="horz" wrap="square" anchor="ctr" anchorCtr="1"/>
          <a:lstStyle/>
          <a:p>
            <a:pPr>
              <a:defRPr sz="9600" b="1" i="0" u="none" strike="noStrike" kern="1200" spc="0" baseline="0">
                <a:solidFill>
                  <a:schemeClr val="tx1"/>
                </a:solidFill>
                <a:latin typeface="Amasis MT Pro Black" panose="02040A04050005020304" pitchFamily="18" charset="0"/>
                <a:ea typeface="+mn-ea"/>
                <a:cs typeface="+mn-cs"/>
              </a:defRPr>
            </a:pPr>
            <a:r>
              <a:rPr lang="en-US" sz="9600" b="1">
                <a:solidFill>
                  <a:schemeClr val="tx1"/>
                </a:solidFill>
                <a:latin typeface="Amasis MT Pro Black" panose="02040A04050005020304" pitchFamily="18" charset="0"/>
              </a:rPr>
              <a:t>  profit by Month</a:t>
            </a:r>
          </a:p>
        </c:rich>
      </c:tx>
      <c:overlay val="0"/>
      <c:spPr>
        <a:noFill/>
        <a:ln>
          <a:noFill/>
        </a:ln>
        <a:effectLst/>
      </c:spPr>
      <c:txPr>
        <a:bodyPr rot="0" spcFirstLastPara="1" vertOverflow="ellipsis" vert="horz" wrap="square" anchor="ctr" anchorCtr="1"/>
        <a:lstStyle/>
        <a:p>
          <a:pPr>
            <a:defRPr sz="9600" b="1" i="0" u="none" strike="noStrike" kern="1200" spc="0" baseline="0">
              <a:solidFill>
                <a:schemeClr val="tx1"/>
              </a:solidFill>
              <a:latin typeface="Amasis MT Pro Black" panose="02040A04050005020304" pitchFamily="18" charset="0"/>
              <a:ea typeface="+mn-ea"/>
              <a:cs typeface="+mn-cs"/>
            </a:defRPr>
          </a:pPr>
          <a:endParaRPr lang="en-US"/>
        </a:p>
      </c:txPr>
    </c:title>
    <c:autoTitleDeleted val="0"/>
    <c:pivotFmts>
      <c:pivotFmt>
        <c:idx val="0"/>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1270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600" b="1" i="0" u="none" strike="noStrike" kern="1200" baseline="0">
                  <a:solidFill>
                    <a:schemeClr val="tx1"/>
                  </a:solidFill>
                  <a:latin typeface="Amasis MT Pro Black" panose="02040A04050005020304"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127000" cap="rnd">
            <a:solidFill>
              <a:schemeClr val="accent1"/>
            </a:solidFill>
            <a:round/>
          </a:ln>
          <a:effectLst/>
        </c:spPr>
        <c:marker>
          <c:symbol val="none"/>
        </c:marker>
        <c:dLbl>
          <c:idx val="0"/>
          <c:layout>
            <c:manualLayout>
              <c:x val="-0.12975555555555557"/>
              <c:y val="-8.3197447557427584E-2"/>
            </c:manualLayout>
          </c:layout>
          <c:spPr>
            <a:noFill/>
            <a:ln>
              <a:noFill/>
            </a:ln>
            <a:effectLst/>
          </c:spPr>
          <c:txPr>
            <a:bodyPr rot="0" spcFirstLastPara="1" vertOverflow="ellipsis" vert="horz" wrap="square" lIns="38100" tIns="19050" rIns="38100" bIns="19050" anchor="ctr" anchorCtr="1">
              <a:spAutoFit/>
            </a:bodyPr>
            <a:lstStyle/>
            <a:p>
              <a:pPr>
                <a:defRPr sz="9600" b="1" i="0" u="none" strike="noStrike" kern="1200" baseline="0">
                  <a:solidFill>
                    <a:schemeClr val="tx1"/>
                  </a:solidFill>
                  <a:latin typeface="Amasis MT Pro Black" panose="02040A04050005020304"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127000" cap="rnd">
              <a:solidFill>
                <a:schemeClr val="accent1"/>
              </a:solidFill>
              <a:round/>
            </a:ln>
            <a:effectLst/>
          </c:spPr>
          <c:marker>
            <c:symbol val="none"/>
          </c:marker>
          <c:dPt>
            <c:idx val="1"/>
            <c:marker>
              <c:symbol val="none"/>
            </c:marker>
            <c:bubble3D val="0"/>
            <c:spPr>
              <a:ln w="127000" cap="rnd">
                <a:solidFill>
                  <a:schemeClr val="accent1"/>
                </a:solidFill>
                <a:round/>
              </a:ln>
              <a:effectLst/>
            </c:spPr>
            <c:extLst>
              <c:ext xmlns:c16="http://schemas.microsoft.com/office/drawing/2014/chart" uri="{C3380CC4-5D6E-409C-BE32-E72D297353CC}">
                <c16:uniqueId val="{00000001-C81F-4A5A-8C26-66DB206CC3FA}"/>
              </c:ext>
            </c:extLst>
          </c:dPt>
          <c:dLbls>
            <c:dLbl>
              <c:idx val="1"/>
              <c:layout>
                <c:manualLayout>
                  <c:x val="-0.12975555555555557"/>
                  <c:y val="-8.31974475574275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1F-4A5A-8C26-66DB206CC3FA}"/>
                </c:ext>
              </c:extLst>
            </c:dLbl>
            <c:spPr>
              <a:noFill/>
              <a:ln>
                <a:noFill/>
              </a:ln>
              <a:effectLst/>
            </c:spPr>
            <c:txPr>
              <a:bodyPr rot="0" spcFirstLastPara="1" vertOverflow="ellipsis" vert="horz" wrap="square" lIns="38100" tIns="19050" rIns="38100" bIns="19050" anchor="ctr" anchorCtr="1">
                <a:spAutoFit/>
              </a:bodyPr>
              <a:lstStyle/>
              <a:p>
                <a:pPr>
                  <a:defRPr sz="9600" b="1" i="0" u="none" strike="noStrike" kern="1200" baseline="0">
                    <a:solidFill>
                      <a:schemeClr val="tx1"/>
                    </a:solidFill>
                    <a:latin typeface="Amasis MT Pro Black" panose="02040A04050005020304"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November</c:v>
                </c:pt>
                <c:pt idx="1">
                  <c:v>October</c:v>
                </c:pt>
                <c:pt idx="2">
                  <c:v>December</c:v>
                </c:pt>
              </c:strCache>
            </c:strRef>
          </c:cat>
          <c:val>
            <c:numRef>
              <c:f>Sheet2!$B$4:$B$7</c:f>
              <c:numCache>
                <c:formatCode>General</c:formatCode>
                <c:ptCount val="3"/>
                <c:pt idx="0">
                  <c:v>149369</c:v>
                </c:pt>
                <c:pt idx="1">
                  <c:v>183964</c:v>
                </c:pt>
                <c:pt idx="2">
                  <c:v>270248</c:v>
                </c:pt>
              </c:numCache>
            </c:numRef>
          </c:val>
          <c:smooth val="0"/>
          <c:extLst>
            <c:ext xmlns:c16="http://schemas.microsoft.com/office/drawing/2014/chart" uri="{C3380CC4-5D6E-409C-BE32-E72D297353CC}">
              <c16:uniqueId val="{00000000-C81F-4A5A-8C26-66DB206CC3FA}"/>
            </c:ext>
          </c:extLst>
        </c:ser>
        <c:dLbls>
          <c:dLblPos val="t"/>
          <c:showLegendKey val="0"/>
          <c:showVal val="1"/>
          <c:showCatName val="0"/>
          <c:showSerName val="0"/>
          <c:showPercent val="0"/>
          <c:showBubbleSize val="0"/>
        </c:dLbls>
        <c:smooth val="0"/>
        <c:axId val="1552822912"/>
        <c:axId val="1552812352"/>
      </c:lineChart>
      <c:catAx>
        <c:axId val="155282291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800" b="1" i="0" u="none" strike="noStrike" kern="1200" baseline="0">
                <a:solidFill>
                  <a:schemeClr val="tx1"/>
                </a:solidFill>
                <a:latin typeface="Amasis MT Pro Black" panose="02040A04050005020304" pitchFamily="18" charset="0"/>
                <a:ea typeface="+mn-ea"/>
                <a:cs typeface="+mn-cs"/>
              </a:defRPr>
            </a:pPr>
            <a:endParaRPr lang="en-US"/>
          </a:p>
        </c:txPr>
        <c:crossAx val="1552812352"/>
        <c:crosses val="autoZero"/>
        <c:auto val="1"/>
        <c:lblAlgn val="ctr"/>
        <c:lblOffset val="100"/>
        <c:noMultiLvlLbl val="0"/>
      </c:catAx>
      <c:valAx>
        <c:axId val="1552812352"/>
        <c:scaling>
          <c:orientation val="minMax"/>
        </c:scaling>
        <c:delete val="1"/>
        <c:axPos val="l"/>
        <c:numFmt formatCode="General" sourceLinked="1"/>
        <c:majorTickMark val="out"/>
        <c:minorTickMark val="none"/>
        <c:tickLblPos val="nextTo"/>
        <c:crossAx val="1552822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[Bike_Sales_VLOOKUP (version 1).xlsb.xlsx]Sheet3!PivotTable2</c:name>
    <c:fmtId val="16"/>
  </c:pivotSource>
  <c:chart>
    <c:title>
      <c:tx>
        <c:rich>
          <a:bodyPr rot="0" spcFirstLastPara="1" vertOverflow="ellipsis" vert="horz" wrap="square" anchor="ctr" anchorCtr="1"/>
          <a:lstStyle/>
          <a:p>
            <a:pPr>
              <a:defRPr sz="8800" b="1" i="0" u="none" strike="noStrike" kern="1200" baseline="0">
                <a:solidFill>
                  <a:schemeClr val="tx1"/>
                </a:solidFill>
                <a:latin typeface="Amasis MT Pro Black" panose="02040A04050005020304" pitchFamily="18" charset="0"/>
                <a:ea typeface="+mn-ea"/>
                <a:cs typeface="+mn-cs"/>
              </a:defRPr>
            </a:pPr>
            <a:r>
              <a:rPr lang="en-US" sz="8800">
                <a:solidFill>
                  <a:schemeClr val="tx1"/>
                </a:solidFill>
                <a:latin typeface="Amasis MT Pro Black" panose="02040A04050005020304" pitchFamily="18" charset="0"/>
              </a:rPr>
              <a:t>profit by country </a:t>
            </a:r>
          </a:p>
        </c:rich>
      </c:tx>
      <c:layout>
        <c:manualLayout>
          <c:xMode val="edge"/>
          <c:yMode val="edge"/>
          <c:x val="0.43253888814745617"/>
          <c:y val="6.5502397505417684E-2"/>
        </c:manualLayout>
      </c:layout>
      <c:overlay val="0"/>
      <c:spPr>
        <a:noFill/>
        <a:ln>
          <a:noFill/>
        </a:ln>
        <a:effectLst/>
      </c:spPr>
      <c:txPr>
        <a:bodyPr rot="0" spcFirstLastPara="1" vertOverflow="ellipsis" vert="horz" wrap="square" anchor="ctr" anchorCtr="1"/>
        <a:lstStyle/>
        <a:p>
          <a:pPr>
            <a:defRPr sz="8800" b="1" i="0" u="none" strike="noStrike" kern="1200" baseline="0">
              <a:solidFill>
                <a:schemeClr val="tx1"/>
              </a:solidFill>
              <a:latin typeface="Amasis MT Pro Black" panose="02040A04050005020304"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0" b="0" i="0" u="none" strike="noStrike" kern="1200" baseline="0">
                  <a:solidFill>
                    <a:schemeClr val="bg1"/>
                  </a:solidFill>
                  <a:latin typeface="Amasis MT Pro Black" panose="02040A040500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6000" b="0" i="0" u="none" strike="noStrike" kern="1200" baseline="0">
                    <a:solidFill>
                      <a:schemeClr val="bg1"/>
                    </a:solidFill>
                    <a:latin typeface="Amasis MT Pro Black" panose="02040A0405000502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Sheet3!$A$4:$A$10</c:f>
              <c:strCache>
                <c:ptCount val="6"/>
                <c:pt idx="0">
                  <c:v>Australia</c:v>
                </c:pt>
                <c:pt idx="1">
                  <c:v>United States</c:v>
                </c:pt>
                <c:pt idx="2">
                  <c:v>United Kingdom</c:v>
                </c:pt>
                <c:pt idx="3">
                  <c:v>France</c:v>
                </c:pt>
                <c:pt idx="4">
                  <c:v>Germany</c:v>
                </c:pt>
                <c:pt idx="5">
                  <c:v>Canada</c:v>
                </c:pt>
              </c:strCache>
            </c:strRef>
          </c:cat>
          <c:val>
            <c:numRef>
              <c:f>Sheet3!$B$4:$B$10</c:f>
              <c:numCache>
                <c:formatCode>General</c:formatCode>
                <c:ptCount val="6"/>
                <c:pt idx="0">
                  <c:v>225071</c:v>
                </c:pt>
                <c:pt idx="1">
                  <c:v>142450</c:v>
                </c:pt>
                <c:pt idx="2">
                  <c:v>72853</c:v>
                </c:pt>
                <c:pt idx="3">
                  <c:v>71225</c:v>
                </c:pt>
                <c:pt idx="4">
                  <c:v>62678</c:v>
                </c:pt>
                <c:pt idx="5">
                  <c:v>29304</c:v>
                </c:pt>
              </c:numCache>
            </c:numRef>
          </c:val>
          <c:extLst>
            <c:ext xmlns:c16="http://schemas.microsoft.com/office/drawing/2014/chart" uri="{C3380CC4-5D6E-409C-BE32-E72D297353CC}">
              <c16:uniqueId val="{00000000-EC8C-4DB0-B140-5EE13B9034A5}"/>
            </c:ext>
          </c:extLst>
        </c:ser>
        <c:dLbls>
          <c:showLegendKey val="0"/>
          <c:showVal val="1"/>
          <c:showCatName val="0"/>
          <c:showSerName val="0"/>
          <c:showPercent val="0"/>
          <c:showBubbleSize val="0"/>
        </c:dLbls>
        <c:gapWidth val="150"/>
        <c:shape val="box"/>
        <c:axId val="1552812832"/>
        <c:axId val="1552817632"/>
        <c:axId val="0"/>
      </c:bar3DChart>
      <c:catAx>
        <c:axId val="15528128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7200" b="1" i="0" u="none" strike="noStrike" kern="1200" baseline="0">
                <a:solidFill>
                  <a:schemeClr val="tx1"/>
                </a:solidFill>
                <a:latin typeface="Amasis MT Pro Black" panose="02040A04050005020304" pitchFamily="18" charset="0"/>
                <a:ea typeface="+mn-ea"/>
                <a:cs typeface="+mn-cs"/>
              </a:defRPr>
            </a:pPr>
            <a:endParaRPr lang="en-US"/>
          </a:p>
        </c:txPr>
        <c:crossAx val="1552817632"/>
        <c:crosses val="autoZero"/>
        <c:auto val="1"/>
        <c:lblAlgn val="ctr"/>
        <c:lblOffset val="100"/>
        <c:noMultiLvlLbl val="0"/>
      </c:catAx>
      <c:valAx>
        <c:axId val="1552817632"/>
        <c:scaling>
          <c:orientation val="minMax"/>
        </c:scaling>
        <c:delete val="1"/>
        <c:axPos val="b"/>
        <c:numFmt formatCode="General" sourceLinked="1"/>
        <c:majorTickMark val="none"/>
        <c:minorTickMark val="none"/>
        <c:tickLblPos val="nextTo"/>
        <c:crossAx val="155281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[Bike_Sales_VLOOKUP (version 1).xlsb.xlsx]Sheet5!PivotTable3</c:name>
    <c:fmtId val="23"/>
  </c:pivotSource>
  <c:chart>
    <c:title>
      <c:tx>
        <c:rich>
          <a:bodyPr rot="0" spcFirstLastPara="1" vertOverflow="ellipsis" vert="horz" wrap="square" anchor="ctr" anchorCtr="1"/>
          <a:lstStyle/>
          <a:p>
            <a:pPr>
              <a:defRPr sz="6600" b="1" i="0" u="none" strike="noStrike" kern="1200" cap="all" spc="120" normalizeH="0" baseline="0">
                <a:solidFill>
                  <a:schemeClr val="tx1"/>
                </a:solidFill>
                <a:latin typeface="Amasis MT Pro Black" panose="02040A04050005020304" pitchFamily="18" charset="0"/>
                <a:ea typeface="+mn-ea"/>
                <a:cs typeface="+mn-cs"/>
              </a:defRPr>
            </a:pPr>
            <a:r>
              <a:rPr lang="en-US" sz="6600">
                <a:solidFill>
                  <a:schemeClr val="tx1"/>
                </a:solidFill>
                <a:latin typeface="Amasis MT Pro Black" panose="02040A04050005020304" pitchFamily="18" charset="0"/>
              </a:rPr>
              <a:t>Age Group - Gender - Sales</a:t>
            </a:r>
          </a:p>
        </c:rich>
      </c:tx>
      <c:layout>
        <c:manualLayout>
          <c:xMode val="edge"/>
          <c:yMode val="edge"/>
          <c:x val="0.26573716939228753"/>
          <c:y val="4.2600895356770759E-2"/>
        </c:manualLayout>
      </c:layout>
      <c:overlay val="0"/>
      <c:spPr>
        <a:noFill/>
        <a:ln>
          <a:noFill/>
        </a:ln>
        <a:effectLst/>
      </c:spPr>
      <c:txPr>
        <a:bodyPr rot="0" spcFirstLastPara="1" vertOverflow="ellipsis" vert="horz" wrap="square" anchor="ctr" anchorCtr="1"/>
        <a:lstStyle/>
        <a:p>
          <a:pPr>
            <a:defRPr sz="6600" b="1" i="0" u="none" strike="noStrike" kern="1200" cap="all" spc="120" normalizeH="0" baseline="0">
              <a:solidFill>
                <a:schemeClr val="tx1"/>
              </a:solidFill>
              <a:latin typeface="Amasis MT Pro Black" panose="02040A04050005020304"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w="152400" h="50800" prst="softRoun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threePt" dir="t"/>
          </a:scene3d>
          <a:sp3d>
            <a:bevelT w="152400" h="50800" prst="softRound"/>
            <a:contourClr>
              <a:schemeClr val="accent1"/>
            </a:contourClr>
          </a:sp3d>
        </c:spPr>
      </c:pivotFmt>
      <c:pivotFmt>
        <c:idx val="7"/>
        <c:spPr>
          <a:solidFill>
            <a:schemeClr val="accent1"/>
          </a:solidFill>
          <a:ln>
            <a:noFill/>
          </a:ln>
          <a:effectLst/>
          <a:scene3d>
            <a:camera prst="orthographicFront"/>
            <a:lightRig rig="threePt" dir="t"/>
          </a:scene3d>
          <a:sp3d>
            <a:bevelT w="152400" h="50800" prst="softRoun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threePt" dir="t"/>
          </a:scene3d>
          <a:sp3d>
            <a:bevelT w="152400" h="50800" prst="softRoun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0" b="1" i="0" u="none" strike="noStrike" kern="1200" baseline="0">
                  <a:solidFill>
                    <a:schemeClr val="tx1"/>
                  </a:solidFill>
                  <a:latin typeface="Amasis MT Pro Black" panose="02040A040500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threePt" dir="t"/>
          </a:scene3d>
          <a:sp3d>
            <a:bevelT w="152400" h="50800" prst="softRound"/>
            <a:contourClr>
              <a:schemeClr val="accent1"/>
            </a:contourClr>
          </a:sp3d>
        </c:spPr>
        <c:dLbl>
          <c:idx val="0"/>
          <c:layout>
            <c:manualLayout>
              <c:x val="4.2809364548494919E-2"/>
              <c:y val="-2.0529443020045951E-3"/>
            </c:manualLayout>
          </c:layout>
          <c:spPr>
            <a:noFill/>
            <a:ln>
              <a:noFill/>
            </a:ln>
            <a:effectLst/>
          </c:spPr>
          <c:txPr>
            <a:bodyPr rot="0" spcFirstLastPara="1" vertOverflow="ellipsis" vert="horz" wrap="square" lIns="38100" tIns="19050" rIns="38100" bIns="19050" anchor="ctr" anchorCtr="1">
              <a:spAutoFit/>
            </a:bodyPr>
            <a:lstStyle/>
            <a:p>
              <a:pPr>
                <a:defRPr sz="6000" b="1" i="0" u="none" strike="noStrike" kern="1200" baseline="0">
                  <a:solidFill>
                    <a:schemeClr val="tx1"/>
                  </a:solidFill>
                  <a:latin typeface="Amasis MT Pro Black" panose="02040A040500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threePt" dir="t"/>
          </a:scene3d>
          <a:sp3d>
            <a:bevelT w="152400" h="50800" prst="softRound"/>
            <a:contourClr>
              <a:schemeClr val="accent1"/>
            </a:contourClr>
          </a:sp3d>
        </c:spPr>
        <c:dLbl>
          <c:idx val="0"/>
          <c:layout>
            <c:manualLayout>
              <c:x val="1.6499442586399109E-2"/>
              <c:y val="-2.7372590693395104E-3"/>
            </c:manualLayout>
          </c:layout>
          <c:spPr>
            <a:noFill/>
            <a:ln>
              <a:noFill/>
            </a:ln>
            <a:effectLst/>
          </c:spPr>
          <c:txPr>
            <a:bodyPr rot="0" spcFirstLastPara="1" vertOverflow="ellipsis" vert="horz" wrap="square" lIns="38100" tIns="19050" rIns="38100" bIns="19050" anchor="ctr" anchorCtr="1">
              <a:spAutoFit/>
            </a:bodyPr>
            <a:lstStyle/>
            <a:p>
              <a:pPr>
                <a:defRPr sz="6000" b="1" i="0" u="none" strike="noStrike" kern="1200" baseline="0">
                  <a:solidFill>
                    <a:schemeClr val="tx1"/>
                  </a:solidFill>
                  <a:latin typeface="Amasis MT Pro Black" panose="02040A040500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threePt" dir="t"/>
          </a:scene3d>
          <a:sp3d>
            <a:bevelT w="152400" h="50800" prst="softRound"/>
            <a:contourClr>
              <a:schemeClr val="accent1"/>
            </a:contourClr>
          </a:sp3d>
        </c:spPr>
        <c:dLbl>
          <c:idx val="0"/>
          <c:layout>
            <c:manualLayout>
              <c:x val="1.9620958751393535E-2"/>
              <c:y val="-1.3686025931435072E-3"/>
            </c:manualLayout>
          </c:layout>
          <c:spPr>
            <a:noFill/>
            <a:ln>
              <a:noFill/>
            </a:ln>
            <a:effectLst/>
          </c:spPr>
          <c:txPr>
            <a:bodyPr rot="0" spcFirstLastPara="1" vertOverflow="ellipsis" vert="horz" wrap="square" lIns="38100" tIns="19050" rIns="38100" bIns="19050" anchor="ctr" anchorCtr="1">
              <a:noAutofit/>
            </a:bodyPr>
            <a:lstStyle/>
            <a:p>
              <a:pPr>
                <a:defRPr sz="6000" b="1" i="0" u="none" strike="noStrike" kern="1200" baseline="0">
                  <a:solidFill>
                    <a:schemeClr val="tx1"/>
                  </a:solidFill>
                  <a:latin typeface="Amasis MT Pro Black" panose="02040A040500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5088071348940919E-2"/>
                  <c:h val="4.4343596923299249E-2"/>
                </c:manualLayout>
              </c15:layout>
            </c:ext>
          </c:extLst>
        </c:dLbl>
      </c:pivotFmt>
      <c:pivotFmt>
        <c:idx val="12"/>
        <c:spPr>
          <a:solidFill>
            <a:schemeClr val="accent1"/>
          </a:solidFill>
          <a:ln>
            <a:noFill/>
          </a:ln>
          <a:effectLst/>
          <a:scene3d>
            <a:camera prst="orthographicFront"/>
            <a:lightRig rig="threePt" dir="t"/>
          </a:scene3d>
          <a:sp3d>
            <a:bevelT w="152400" h="50800" prst="softRound"/>
            <a:contourClr>
              <a:schemeClr val="accent1"/>
            </a:contourClr>
          </a:sp3d>
        </c:spPr>
        <c:dLbl>
          <c:idx val="0"/>
          <c:layout>
            <c:manualLayout>
              <c:x val="1.5161649944258639E-2"/>
              <c:y val="-6.8431476733486502E-3"/>
            </c:manualLayout>
          </c:layout>
          <c:spPr>
            <a:noFill/>
            <a:ln>
              <a:noFill/>
            </a:ln>
            <a:effectLst/>
          </c:spPr>
          <c:txPr>
            <a:bodyPr rot="0" spcFirstLastPara="1" vertOverflow="ellipsis" vert="horz" wrap="square" lIns="38100" tIns="19050" rIns="38100" bIns="19050" anchor="ctr" anchorCtr="1">
              <a:spAutoFit/>
            </a:bodyPr>
            <a:lstStyle/>
            <a:p>
              <a:pPr>
                <a:defRPr sz="6000" b="1" i="0" u="none" strike="noStrike" kern="1200" baseline="0">
                  <a:solidFill>
                    <a:schemeClr val="tx1"/>
                  </a:solidFill>
                  <a:latin typeface="Amasis MT Pro Black" panose="02040A040500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threePt" dir="t"/>
          </a:scene3d>
          <a:sp3d>
            <a:bevelT w="152400" h="50800" prst="softRound"/>
            <a:contourClr>
              <a:schemeClr val="accent1"/>
            </a:contourClr>
          </a:sp3d>
        </c:spPr>
        <c:dLbl>
          <c:idx val="0"/>
          <c:layout>
            <c:manualLayout>
              <c:x val="4.2809364548494981E-2"/>
              <c:y val="-5.4745181386789202E-3"/>
            </c:manualLayout>
          </c:layout>
          <c:spPr>
            <a:noFill/>
            <a:ln>
              <a:noFill/>
            </a:ln>
            <a:effectLst/>
          </c:spPr>
          <c:txPr>
            <a:bodyPr rot="0" spcFirstLastPara="1" vertOverflow="ellipsis" vert="horz" wrap="square" lIns="38100" tIns="19050" rIns="38100" bIns="19050" anchor="ctr" anchorCtr="1">
              <a:spAutoFit/>
            </a:bodyPr>
            <a:lstStyle/>
            <a:p>
              <a:pPr>
                <a:defRPr sz="6000" b="1" i="0" u="none" strike="noStrike" kern="1200" baseline="0">
                  <a:solidFill>
                    <a:schemeClr val="tx1"/>
                  </a:solidFill>
                  <a:latin typeface="Amasis MT Pro Black" panose="02040A040500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threePt" dir="t"/>
          </a:scene3d>
          <a:sp3d>
            <a:bevelT w="152400" h="50800" prst="softRound"/>
            <a:contourClr>
              <a:schemeClr val="accent1"/>
            </a:contourClr>
          </a:sp3d>
        </c:spPr>
        <c:dLbl>
          <c:idx val="0"/>
          <c:layout>
            <c:manualLayout>
              <c:x val="1.5607580824971998E-2"/>
              <c:y val="-3.4215738366744253E-3"/>
            </c:manualLayout>
          </c:layout>
          <c:spPr>
            <a:noFill/>
            <a:ln>
              <a:noFill/>
            </a:ln>
            <a:effectLst/>
          </c:spPr>
          <c:txPr>
            <a:bodyPr rot="0" spcFirstLastPara="1" vertOverflow="ellipsis" vert="horz" wrap="square" lIns="38100" tIns="19050" rIns="38100" bIns="19050" anchor="ctr" anchorCtr="1">
              <a:spAutoFit/>
            </a:bodyPr>
            <a:lstStyle/>
            <a:p>
              <a:pPr>
                <a:defRPr sz="6600" b="1" i="0" u="none" strike="noStrike" kern="1200" baseline="0">
                  <a:solidFill>
                    <a:schemeClr val="tx1"/>
                  </a:solidFill>
                  <a:latin typeface="Amasis MT Pro Black" panose="02040A040500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threePt" dir="t"/>
          </a:scene3d>
          <a:sp3d>
            <a:bevelT w="152400" h="50800" prst="softRound"/>
            <a:contourClr>
              <a:schemeClr val="accent1"/>
            </a:contourClr>
          </a:sp3d>
        </c:spPr>
        <c:dLbl>
          <c:idx val="0"/>
          <c:layout>
            <c:manualLayout>
              <c:x val="-3.6120009242722004E-2"/>
              <c:y val="6.0219699525468122E-2"/>
            </c:manualLayout>
          </c:layout>
          <c:spPr>
            <a:noFill/>
            <a:ln>
              <a:noFill/>
            </a:ln>
            <a:effectLst/>
          </c:spPr>
          <c:txPr>
            <a:bodyPr rot="0" spcFirstLastPara="1" vertOverflow="ellipsis" vert="horz" wrap="square" lIns="38100" tIns="19050" rIns="38100" bIns="19050" anchor="ctr" anchorCtr="1">
              <a:spAutoFit/>
            </a:bodyPr>
            <a:lstStyle/>
            <a:p>
              <a:pPr>
                <a:defRPr sz="6000" b="1" i="0" u="none" strike="noStrike" kern="1200" baseline="0">
                  <a:solidFill>
                    <a:schemeClr val="tx1"/>
                  </a:solidFill>
                  <a:latin typeface="Amasis MT Pro Black" panose="02040A040500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spPr>
        <a:noFill/>
        <a:ln>
          <a:noFill/>
        </a:ln>
        <a:effectLst/>
        <a:sp3d/>
      </c:spPr>
    </c:floor>
    <c:sideWall>
      <c:thickness val="0"/>
      <c:spPr>
        <a:noFill/>
        <a:ln>
          <a:noFill/>
        </a:ln>
        <a:effectLst/>
        <a:scene3d>
          <a:camera prst="orthographicFront"/>
          <a:lightRig rig="threePt" dir="t"/>
        </a:scene3d>
        <a:sp3d>
          <a:bevelT/>
        </a:sp3d>
      </c:spPr>
    </c:sideWall>
    <c:backWall>
      <c:thickness val="0"/>
      <c:spPr>
        <a:noFill/>
        <a:ln>
          <a:noFill/>
        </a:ln>
        <a:effectLst/>
        <a:scene3d>
          <a:camera prst="orthographicFront"/>
          <a:lightRig rig="threePt" dir="t"/>
        </a:scene3d>
        <a:sp3d>
          <a:bevelT/>
        </a:sp3d>
      </c:spPr>
    </c:backWall>
    <c:plotArea>
      <c:layout>
        <c:manualLayout>
          <c:layoutTarget val="inner"/>
          <c:xMode val="edge"/>
          <c:yMode val="edge"/>
          <c:x val="0.36357999207899522"/>
          <c:y val="0.13488460083238743"/>
          <c:w val="0.63642000792100473"/>
          <c:h val="0.82727960650775634"/>
        </c:manualLayout>
      </c:layout>
      <c:bar3DChart>
        <c:barDir val="bar"/>
        <c:grouping val="clustered"/>
        <c:varyColors val="0"/>
        <c:ser>
          <c:idx val="0"/>
          <c:order val="0"/>
          <c:tx>
            <c:strRef>
              <c:f>Sheet5!$C$3:$C$4</c:f>
              <c:strCache>
                <c:ptCount val="1"/>
                <c:pt idx="0">
                  <c:v>Total</c:v>
                </c:pt>
              </c:strCache>
            </c:strRef>
          </c:tx>
          <c:spPr>
            <a:solidFill>
              <a:schemeClr val="accent1"/>
            </a:solidFill>
            <a:ln>
              <a:noFill/>
            </a:ln>
            <a:effectLst/>
            <a:scene3d>
              <a:camera prst="orthographicFront"/>
              <a:lightRig rig="threePt" dir="t"/>
            </a:scene3d>
            <a:sp3d>
              <a:bevelT w="152400" h="50800" prst="softRound"/>
              <a:contourClr>
                <a:schemeClr val="accent1"/>
              </a:contourClr>
            </a:sp3d>
          </c:spPr>
          <c:invertIfNegative val="0"/>
          <c:dPt>
            <c:idx val="0"/>
            <c:invertIfNegative val="0"/>
            <c:bubble3D val="0"/>
            <c:spPr>
              <a:solidFill>
                <a:schemeClr val="accent1"/>
              </a:solidFill>
              <a:ln>
                <a:noFill/>
              </a:ln>
              <a:effectLst/>
              <a:scene3d>
                <a:camera prst="orthographicFront"/>
                <a:lightRig rig="threePt" dir="t"/>
              </a:scene3d>
              <a:sp3d>
                <a:bevelT w="152400" h="50800" prst="softRound"/>
                <a:contourClr>
                  <a:schemeClr val="accent1"/>
                </a:contourClr>
              </a:sp3d>
            </c:spPr>
            <c:extLst>
              <c:ext xmlns:c16="http://schemas.microsoft.com/office/drawing/2014/chart" uri="{C3380CC4-5D6E-409C-BE32-E72D297353CC}">
                <c16:uniqueId val="{00000007-80DA-4964-BE66-280B006BD5F6}"/>
              </c:ext>
            </c:extLst>
          </c:dPt>
          <c:dPt>
            <c:idx val="1"/>
            <c:invertIfNegative val="0"/>
            <c:bubble3D val="0"/>
            <c:spPr>
              <a:solidFill>
                <a:schemeClr val="accent1"/>
              </a:solidFill>
              <a:ln>
                <a:noFill/>
              </a:ln>
              <a:effectLst/>
              <a:scene3d>
                <a:camera prst="orthographicFront"/>
                <a:lightRig rig="threePt" dir="t"/>
              </a:scene3d>
              <a:sp3d>
                <a:bevelT w="152400" h="50800" prst="softRound"/>
                <a:contourClr>
                  <a:schemeClr val="accent1"/>
                </a:contourClr>
              </a:sp3d>
            </c:spPr>
            <c:extLst>
              <c:ext xmlns:c16="http://schemas.microsoft.com/office/drawing/2014/chart" uri="{C3380CC4-5D6E-409C-BE32-E72D297353CC}">
                <c16:uniqueId val="{00000006-80DA-4964-BE66-280B006BD5F6}"/>
              </c:ext>
            </c:extLst>
          </c:dPt>
          <c:dPt>
            <c:idx val="2"/>
            <c:invertIfNegative val="0"/>
            <c:bubble3D val="0"/>
            <c:spPr>
              <a:solidFill>
                <a:schemeClr val="accent1"/>
              </a:solidFill>
              <a:ln>
                <a:noFill/>
              </a:ln>
              <a:effectLst/>
              <a:scene3d>
                <a:camera prst="orthographicFront"/>
                <a:lightRig rig="threePt" dir="t"/>
              </a:scene3d>
              <a:sp3d>
                <a:bevelT w="152400" h="50800" prst="softRound"/>
                <a:contourClr>
                  <a:schemeClr val="accent1"/>
                </a:contourClr>
              </a:sp3d>
            </c:spPr>
            <c:extLst>
              <c:ext xmlns:c16="http://schemas.microsoft.com/office/drawing/2014/chart" uri="{C3380CC4-5D6E-409C-BE32-E72D297353CC}">
                <c16:uniqueId val="{00000005-80DA-4964-BE66-280B006BD5F6}"/>
              </c:ext>
            </c:extLst>
          </c:dPt>
          <c:dPt>
            <c:idx val="3"/>
            <c:invertIfNegative val="0"/>
            <c:bubble3D val="0"/>
            <c:spPr>
              <a:solidFill>
                <a:schemeClr val="accent1"/>
              </a:solidFill>
              <a:ln>
                <a:noFill/>
              </a:ln>
              <a:effectLst/>
              <a:scene3d>
                <a:camera prst="orthographicFront"/>
                <a:lightRig rig="threePt" dir="t"/>
              </a:scene3d>
              <a:sp3d>
                <a:bevelT w="152400" h="50800" prst="softRound"/>
                <a:contourClr>
                  <a:schemeClr val="accent1"/>
                </a:contourClr>
              </a:sp3d>
            </c:spPr>
            <c:extLst>
              <c:ext xmlns:c16="http://schemas.microsoft.com/office/drawing/2014/chart" uri="{C3380CC4-5D6E-409C-BE32-E72D297353CC}">
                <c16:uniqueId val="{00000004-80DA-4964-BE66-280B006BD5F6}"/>
              </c:ext>
            </c:extLst>
          </c:dPt>
          <c:dPt>
            <c:idx val="4"/>
            <c:invertIfNegative val="0"/>
            <c:bubble3D val="0"/>
            <c:spPr>
              <a:solidFill>
                <a:schemeClr val="accent1"/>
              </a:solidFill>
              <a:ln>
                <a:noFill/>
              </a:ln>
              <a:effectLst/>
              <a:scene3d>
                <a:camera prst="orthographicFront"/>
                <a:lightRig rig="threePt" dir="t"/>
              </a:scene3d>
              <a:sp3d>
                <a:bevelT w="152400" h="50800" prst="softRound"/>
                <a:contourClr>
                  <a:schemeClr val="accent1"/>
                </a:contourClr>
              </a:sp3d>
            </c:spPr>
            <c:extLst>
              <c:ext xmlns:c16="http://schemas.microsoft.com/office/drawing/2014/chart" uri="{C3380CC4-5D6E-409C-BE32-E72D297353CC}">
                <c16:uniqueId val="{00000003-80DA-4964-BE66-280B006BD5F6}"/>
              </c:ext>
            </c:extLst>
          </c:dPt>
          <c:dPt>
            <c:idx val="5"/>
            <c:invertIfNegative val="0"/>
            <c:bubble3D val="0"/>
            <c:spPr>
              <a:solidFill>
                <a:schemeClr val="accent1"/>
              </a:solidFill>
              <a:ln>
                <a:noFill/>
              </a:ln>
              <a:effectLst/>
              <a:scene3d>
                <a:camera prst="orthographicFront"/>
                <a:lightRig rig="threePt" dir="t"/>
              </a:scene3d>
              <a:sp3d>
                <a:bevelT w="152400" h="50800" prst="softRound"/>
                <a:contourClr>
                  <a:schemeClr val="accent1"/>
                </a:contourClr>
              </a:sp3d>
            </c:spPr>
            <c:extLst>
              <c:ext xmlns:c16="http://schemas.microsoft.com/office/drawing/2014/chart" uri="{C3380CC4-5D6E-409C-BE32-E72D297353CC}">
                <c16:uniqueId val="{00000002-80DA-4964-BE66-280B006BD5F6}"/>
              </c:ext>
            </c:extLst>
          </c:dPt>
          <c:dPt>
            <c:idx val="6"/>
            <c:invertIfNegative val="0"/>
            <c:bubble3D val="0"/>
            <c:spPr>
              <a:solidFill>
                <a:schemeClr val="accent1"/>
              </a:solidFill>
              <a:ln>
                <a:noFill/>
              </a:ln>
              <a:effectLst/>
              <a:scene3d>
                <a:camera prst="orthographicFront"/>
                <a:lightRig rig="threePt" dir="t"/>
              </a:scene3d>
              <a:sp3d>
                <a:bevelT w="152400" h="50800" prst="softRound"/>
                <a:contourClr>
                  <a:schemeClr val="accent1"/>
                </a:contourClr>
              </a:sp3d>
            </c:spPr>
            <c:extLst>
              <c:ext xmlns:c16="http://schemas.microsoft.com/office/drawing/2014/chart" uri="{C3380CC4-5D6E-409C-BE32-E72D297353CC}">
                <c16:uniqueId val="{00000001-80DA-4964-BE66-280B006BD5F6}"/>
              </c:ext>
            </c:extLst>
          </c:dPt>
          <c:dLbls>
            <c:dLbl>
              <c:idx val="0"/>
              <c:layout>
                <c:manualLayout>
                  <c:x val="-3.6120009242722004E-2"/>
                  <c:y val="6.02196995254681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0DA-4964-BE66-280B006BD5F6}"/>
                </c:ext>
              </c:extLst>
            </c:dLbl>
            <c:dLbl>
              <c:idx val="1"/>
              <c:layout>
                <c:manualLayout>
                  <c:x val="1.5607580824971998E-2"/>
                  <c:y val="-3.4215738366744253E-3"/>
                </c:manualLayout>
              </c:layout>
              <c:spPr>
                <a:noFill/>
                <a:ln>
                  <a:noFill/>
                </a:ln>
                <a:effectLst/>
              </c:spPr>
              <c:txPr>
                <a:bodyPr rot="0" spcFirstLastPara="1" vertOverflow="ellipsis" vert="horz" wrap="square" lIns="38100" tIns="19050" rIns="38100" bIns="19050" anchor="ctr" anchorCtr="1">
                  <a:spAutoFit/>
                </a:bodyPr>
                <a:lstStyle/>
                <a:p>
                  <a:pPr>
                    <a:defRPr sz="6600" b="1" i="0" u="none" strike="noStrike" kern="1200" baseline="0">
                      <a:solidFill>
                        <a:schemeClr val="tx1"/>
                      </a:solidFill>
                      <a:latin typeface="Amasis MT Pro Black" panose="02040A040500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0DA-4964-BE66-280B006BD5F6}"/>
                </c:ext>
              </c:extLst>
            </c:dLbl>
            <c:dLbl>
              <c:idx val="2"/>
              <c:layout>
                <c:manualLayout>
                  <c:x val="4.2809364548494981E-2"/>
                  <c:y val="-5.47451813867892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0DA-4964-BE66-280B006BD5F6}"/>
                </c:ext>
              </c:extLst>
            </c:dLbl>
            <c:dLbl>
              <c:idx val="3"/>
              <c:layout>
                <c:manualLayout>
                  <c:x val="1.5161649944258639E-2"/>
                  <c:y val="-6.84314767334865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0DA-4964-BE66-280B006BD5F6}"/>
                </c:ext>
              </c:extLst>
            </c:dLbl>
            <c:dLbl>
              <c:idx val="4"/>
              <c:layout>
                <c:manualLayout>
                  <c:x val="1.9620958751393535E-2"/>
                  <c:y val="-1.3686025931435072E-3"/>
                </c:manualLayout>
              </c:layout>
              <c:spPr>
                <a:noFill/>
                <a:ln>
                  <a:noFill/>
                </a:ln>
                <a:effectLst/>
              </c:spPr>
              <c:txPr>
                <a:bodyPr rot="0" spcFirstLastPara="1" vertOverflow="ellipsis" vert="horz" wrap="square" lIns="38100" tIns="19050" rIns="38100" bIns="19050" anchor="ctr" anchorCtr="1">
                  <a:noAutofit/>
                </a:bodyPr>
                <a:lstStyle/>
                <a:p>
                  <a:pPr>
                    <a:defRPr sz="6000" b="1" i="0" u="none" strike="noStrike" kern="1200" baseline="0">
                      <a:solidFill>
                        <a:schemeClr val="tx1"/>
                      </a:solidFill>
                      <a:latin typeface="Amasis MT Pro Black" panose="02040A040500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5088071348940919E-2"/>
                      <c:h val="4.4343596923299249E-2"/>
                    </c:manualLayout>
                  </c15:layout>
                </c:ext>
                <c:ext xmlns:c16="http://schemas.microsoft.com/office/drawing/2014/chart" uri="{C3380CC4-5D6E-409C-BE32-E72D297353CC}">
                  <c16:uniqueId val="{00000003-80DA-4964-BE66-280B006BD5F6}"/>
                </c:ext>
              </c:extLst>
            </c:dLbl>
            <c:dLbl>
              <c:idx val="5"/>
              <c:layout>
                <c:manualLayout>
                  <c:x val="1.6499442586399109E-2"/>
                  <c:y val="-2.73725906933951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0DA-4964-BE66-280B006BD5F6}"/>
                </c:ext>
              </c:extLst>
            </c:dLbl>
            <c:dLbl>
              <c:idx val="6"/>
              <c:layout>
                <c:manualLayout>
                  <c:x val="4.2809364548494919E-2"/>
                  <c:y val="-2.052944302004595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DA-4964-BE66-280B006BD5F6}"/>
                </c:ext>
              </c:extLst>
            </c:dLbl>
            <c:spPr>
              <a:noFill/>
              <a:ln>
                <a:noFill/>
              </a:ln>
              <a:effectLst/>
            </c:spPr>
            <c:txPr>
              <a:bodyPr rot="0" spcFirstLastPara="1" vertOverflow="ellipsis" vert="horz" wrap="square" lIns="38100" tIns="19050" rIns="38100" bIns="19050" anchor="ctr" anchorCtr="1">
                <a:spAutoFit/>
              </a:bodyPr>
              <a:lstStyle/>
              <a:p>
                <a:pPr>
                  <a:defRPr sz="6000" b="1" i="0" u="none" strike="noStrike" kern="1200" baseline="0">
                    <a:solidFill>
                      <a:schemeClr val="tx1"/>
                    </a:solidFill>
                    <a:latin typeface="Amasis MT Pro Black" panose="02040A0405000502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Sheet5!$A$5:$B$14</c:f>
              <c:multiLvlStrCache>
                <c:ptCount val="7"/>
                <c:lvl>
                  <c:pt idx="0">
                    <c:v>Adults (35-64)</c:v>
                  </c:pt>
                  <c:pt idx="1">
                    <c:v>Young Adults (25-34)</c:v>
                  </c:pt>
                  <c:pt idx="2">
                    <c:v>Youth (&lt;25)</c:v>
                  </c:pt>
                  <c:pt idx="3">
                    <c:v>Adults (35-64)</c:v>
                  </c:pt>
                  <c:pt idx="4">
                    <c:v>Young Adults (25-34)</c:v>
                  </c:pt>
                  <c:pt idx="5">
                    <c:v>Youth (&lt;25)</c:v>
                  </c:pt>
                  <c:pt idx="6">
                    <c:v>Seniors (64+)</c:v>
                  </c:pt>
                </c:lvl>
                <c:lvl>
                  <c:pt idx="0">
                    <c:v>Female</c:v>
                  </c:pt>
                  <c:pt idx="3">
                    <c:v>Male</c:v>
                  </c:pt>
                </c:lvl>
              </c:multiLvlStrCache>
            </c:multiLvlStrRef>
          </c:cat>
          <c:val>
            <c:numRef>
              <c:f>Sheet5!$C$5:$C$14</c:f>
              <c:numCache>
                <c:formatCode>General</c:formatCode>
                <c:ptCount val="7"/>
                <c:pt idx="0">
                  <c:v>151404</c:v>
                </c:pt>
                <c:pt idx="1">
                  <c:v>113960</c:v>
                </c:pt>
                <c:pt idx="2">
                  <c:v>44770</c:v>
                </c:pt>
                <c:pt idx="3">
                  <c:v>135531</c:v>
                </c:pt>
                <c:pt idx="4">
                  <c:v>109076</c:v>
                </c:pt>
                <c:pt idx="5">
                  <c:v>47619</c:v>
                </c:pt>
                <c:pt idx="6">
                  <c:v>1221</c:v>
                </c:pt>
              </c:numCache>
            </c:numRef>
          </c:val>
          <c:extLst>
            <c:ext xmlns:c16="http://schemas.microsoft.com/office/drawing/2014/chart" uri="{C3380CC4-5D6E-409C-BE32-E72D297353CC}">
              <c16:uniqueId val="{00000000-80DA-4964-BE66-280B006BD5F6}"/>
            </c:ext>
          </c:extLst>
        </c:ser>
        <c:dLbls>
          <c:showLegendKey val="0"/>
          <c:showVal val="1"/>
          <c:showCatName val="0"/>
          <c:showSerName val="0"/>
          <c:showPercent val="0"/>
          <c:showBubbleSize val="0"/>
        </c:dLbls>
        <c:gapWidth val="79"/>
        <c:shape val="box"/>
        <c:axId val="1568468192"/>
        <c:axId val="1568467232"/>
        <c:axId val="0"/>
      </c:bar3DChart>
      <c:catAx>
        <c:axId val="156846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600" b="1" i="0" u="none" strike="noStrike" kern="1200" cap="all" spc="120" normalizeH="0" baseline="0">
                <a:solidFill>
                  <a:schemeClr val="tx1"/>
                </a:solidFill>
                <a:latin typeface="Amasis MT Pro Black" panose="02040A04050005020304" pitchFamily="18" charset="0"/>
                <a:ea typeface="+mn-ea"/>
                <a:cs typeface="+mn-cs"/>
              </a:defRPr>
            </a:pPr>
            <a:endParaRPr lang="en-US"/>
          </a:p>
        </c:txPr>
        <c:crossAx val="1568467232"/>
        <c:crosses val="autoZero"/>
        <c:auto val="1"/>
        <c:lblAlgn val="ctr"/>
        <c:lblOffset val="100"/>
        <c:noMultiLvlLbl val="0"/>
      </c:catAx>
      <c:valAx>
        <c:axId val="1568467232"/>
        <c:scaling>
          <c:orientation val="minMax"/>
        </c:scaling>
        <c:delete val="1"/>
        <c:axPos val="b"/>
        <c:numFmt formatCode="General" sourceLinked="1"/>
        <c:majorTickMark val="none"/>
        <c:minorTickMark val="none"/>
        <c:tickLblPos val="nextTo"/>
        <c:crossAx val="156846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[Bike_Sales_VLOOKUP (version 1).xlsb.xlsx]Sheet6!PivotTable8</c:name>
    <c:fmtId val="15"/>
  </c:pivotSource>
  <c:chart>
    <c:title>
      <c:tx>
        <c:rich>
          <a:bodyPr rot="0" spcFirstLastPara="1" vertOverflow="ellipsis" vert="horz" wrap="square" anchor="ctr" anchorCtr="1"/>
          <a:lstStyle/>
          <a:p>
            <a:pPr>
              <a:defRPr sz="8000" b="1" i="0" u="none" strike="noStrike" kern="1200" spc="0" baseline="0">
                <a:solidFill>
                  <a:schemeClr val="tx1"/>
                </a:solidFill>
                <a:latin typeface="Amasis MT Pro Black" panose="02040A04050005020304" pitchFamily="18" charset="0"/>
                <a:ea typeface="+mn-ea"/>
                <a:cs typeface="+mn-cs"/>
              </a:defRPr>
            </a:pPr>
            <a:r>
              <a:rPr lang="en-US" sz="8000" b="1">
                <a:solidFill>
                  <a:schemeClr val="tx1"/>
                </a:solidFill>
                <a:latin typeface="Amasis MT Pro Black" panose="02040A04050005020304" pitchFamily="18" charset="0"/>
              </a:rPr>
              <a:t>State - Category -sales </a:t>
            </a:r>
          </a:p>
        </c:rich>
      </c:tx>
      <c:overlay val="0"/>
      <c:spPr>
        <a:solidFill>
          <a:schemeClr val="bg1"/>
        </a:solidFill>
        <a:ln>
          <a:noFill/>
        </a:ln>
        <a:effectLst/>
      </c:spPr>
      <c:txPr>
        <a:bodyPr rot="0" spcFirstLastPara="1" vertOverflow="ellipsis" vert="horz" wrap="square" anchor="ctr" anchorCtr="1"/>
        <a:lstStyle/>
        <a:p>
          <a:pPr>
            <a:defRPr sz="8000" b="1" i="0" u="none" strike="noStrike" kern="1200" spc="0" baseline="0">
              <a:solidFill>
                <a:schemeClr val="tx1"/>
              </a:solidFill>
              <a:latin typeface="Amasis MT Pro Black" panose="02040A04050005020304" pitchFamily="18" charset="0"/>
              <a:ea typeface="+mn-ea"/>
              <a:cs typeface="+mn-cs"/>
            </a:defRPr>
          </a:pPr>
          <a:endParaRPr lang="en-US"/>
        </a:p>
      </c:txPr>
    </c:title>
    <c:autoTitleDeleted val="0"/>
    <c:pivotFmts>
      <c:pivotFmt>
        <c:idx val="0"/>
        <c:spPr>
          <a:solidFill>
            <a:schemeClr val="accent1"/>
          </a:solidFill>
          <a:ln>
            <a:noFill/>
          </a:ln>
          <a:effectLst/>
          <a:scene3d>
            <a:camera prst="orthographicFront"/>
            <a:lightRig rig="threePt" dir="t"/>
          </a:scene3d>
          <a:sp3d>
            <a:bevelT prst="slop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a:bevelT prst="slope"/>
          </a:sp3d>
        </c:spPr>
      </c:pivotFmt>
      <c:pivotFmt>
        <c:idx val="2"/>
        <c:spPr>
          <a:solidFill>
            <a:schemeClr val="accent1"/>
          </a:solidFill>
          <a:ln>
            <a:noFill/>
          </a:ln>
          <a:effectLst/>
          <a:scene3d>
            <a:camera prst="orthographicFront"/>
            <a:lightRig rig="threePt" dir="t"/>
          </a:scene3d>
          <a:sp3d>
            <a:bevelT prst="slop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prst="slop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400" b="0" i="0" u="none" strike="noStrike" kern="1200" baseline="0">
                  <a:solidFill>
                    <a:schemeClr val="tx1"/>
                  </a:solidFill>
                  <a:latin typeface="Amasis MT Pro Black" panose="02040A040500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14267855437585E-2"/>
          <c:y val="3.6999663639421462E-2"/>
          <c:w val="0.9075070825628605"/>
          <c:h val="0.71104772347452527"/>
        </c:manualLayout>
      </c:layout>
      <c:barChart>
        <c:barDir val="col"/>
        <c:grouping val="clustered"/>
        <c:varyColors val="0"/>
        <c:ser>
          <c:idx val="0"/>
          <c:order val="0"/>
          <c:tx>
            <c:strRef>
              <c:f>Sheet6!$B$3</c:f>
              <c:strCache>
                <c:ptCount val="1"/>
                <c:pt idx="0">
                  <c:v>Total</c:v>
                </c:pt>
              </c:strCache>
            </c:strRef>
          </c:tx>
          <c:spPr>
            <a:solidFill>
              <a:schemeClr val="accent1"/>
            </a:solidFill>
            <a:ln>
              <a:noFill/>
            </a:ln>
            <a:effectLst/>
            <a:scene3d>
              <a:camera prst="orthographicFront"/>
              <a:lightRig rig="threePt" dir="t"/>
            </a:scene3d>
            <a:sp3d>
              <a:bevelT prst="slope"/>
            </a:sp3d>
          </c:spPr>
          <c:invertIfNegative val="0"/>
          <c:dLbls>
            <c:spPr>
              <a:noFill/>
              <a:ln>
                <a:noFill/>
              </a:ln>
              <a:effectLst/>
            </c:spPr>
            <c:txPr>
              <a:bodyPr rot="0" spcFirstLastPara="1" vertOverflow="ellipsis" vert="horz" wrap="square" lIns="38100" tIns="19050" rIns="38100" bIns="19050" anchor="ctr" anchorCtr="1">
                <a:spAutoFit/>
              </a:bodyPr>
              <a:lstStyle/>
              <a:p>
                <a:pPr>
                  <a:defRPr sz="5400" b="0" i="0" u="none" strike="noStrike" kern="1200" baseline="0">
                    <a:solidFill>
                      <a:schemeClr val="tx1"/>
                    </a:solidFill>
                    <a:latin typeface="Amasis MT Pro Black" panose="02040A040500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Sheet6!$A$4:$A$25</c:f>
              <c:strCache>
                <c:ptCount val="21"/>
                <c:pt idx="0">
                  <c:v>Hauts de Seine</c:v>
                </c:pt>
                <c:pt idx="1">
                  <c:v>Saarland</c:v>
                </c:pt>
                <c:pt idx="2">
                  <c:v>Seine et Marne</c:v>
                </c:pt>
                <c:pt idx="3">
                  <c:v>Moselle</c:v>
                </c:pt>
                <c:pt idx="4">
                  <c:v>Oregon</c:v>
                </c:pt>
                <c:pt idx="5">
                  <c:v>Somme</c:v>
                </c:pt>
                <c:pt idx="6">
                  <c:v>Bayern</c:v>
                </c:pt>
                <c:pt idx="7">
                  <c:v>Seine (Paris)</c:v>
                </c:pt>
                <c:pt idx="8">
                  <c:v>Hamburg</c:v>
                </c:pt>
                <c:pt idx="9">
                  <c:v>Nord</c:v>
                </c:pt>
                <c:pt idx="10">
                  <c:v>British Columbia</c:v>
                </c:pt>
                <c:pt idx="11">
                  <c:v>South Australia</c:v>
                </c:pt>
                <c:pt idx="12">
                  <c:v>Hessen</c:v>
                </c:pt>
                <c:pt idx="13">
                  <c:v>Seine Saint Denis</c:v>
                </c:pt>
                <c:pt idx="14">
                  <c:v>Nordrhein-Westfalen</c:v>
                </c:pt>
                <c:pt idx="15">
                  <c:v>Victoria</c:v>
                </c:pt>
                <c:pt idx="16">
                  <c:v>Queensland</c:v>
                </c:pt>
                <c:pt idx="17">
                  <c:v>England</c:v>
                </c:pt>
                <c:pt idx="18">
                  <c:v>Washington</c:v>
                </c:pt>
                <c:pt idx="19">
                  <c:v>New South Wales</c:v>
                </c:pt>
                <c:pt idx="20">
                  <c:v>California</c:v>
                </c:pt>
              </c:strCache>
            </c:strRef>
          </c:cat>
          <c:val>
            <c:numRef>
              <c:f>Sheet6!$B$4:$B$25</c:f>
              <c:numCache>
                <c:formatCode>General</c:formatCode>
                <c:ptCount val="21"/>
                <c:pt idx="0">
                  <c:v>407</c:v>
                </c:pt>
                <c:pt idx="1">
                  <c:v>407</c:v>
                </c:pt>
                <c:pt idx="2">
                  <c:v>407</c:v>
                </c:pt>
                <c:pt idx="3">
                  <c:v>814</c:v>
                </c:pt>
                <c:pt idx="4">
                  <c:v>1221</c:v>
                </c:pt>
                <c:pt idx="5">
                  <c:v>1221</c:v>
                </c:pt>
                <c:pt idx="6">
                  <c:v>1628</c:v>
                </c:pt>
                <c:pt idx="7">
                  <c:v>1628</c:v>
                </c:pt>
                <c:pt idx="8">
                  <c:v>1628</c:v>
                </c:pt>
                <c:pt idx="9">
                  <c:v>2035</c:v>
                </c:pt>
                <c:pt idx="10">
                  <c:v>2035</c:v>
                </c:pt>
                <c:pt idx="11">
                  <c:v>2035</c:v>
                </c:pt>
                <c:pt idx="12">
                  <c:v>2035</c:v>
                </c:pt>
                <c:pt idx="13">
                  <c:v>2442</c:v>
                </c:pt>
                <c:pt idx="14">
                  <c:v>4070</c:v>
                </c:pt>
                <c:pt idx="15">
                  <c:v>5698</c:v>
                </c:pt>
                <c:pt idx="16">
                  <c:v>7733</c:v>
                </c:pt>
                <c:pt idx="17">
                  <c:v>10175</c:v>
                </c:pt>
                <c:pt idx="18">
                  <c:v>10582</c:v>
                </c:pt>
                <c:pt idx="19">
                  <c:v>17908</c:v>
                </c:pt>
                <c:pt idx="20">
                  <c:v>20350</c:v>
                </c:pt>
              </c:numCache>
            </c:numRef>
          </c:val>
          <c:extLst>
            <c:ext xmlns:c16="http://schemas.microsoft.com/office/drawing/2014/chart" uri="{C3380CC4-5D6E-409C-BE32-E72D297353CC}">
              <c16:uniqueId val="{00000000-7ADC-43C3-BF9A-451073E66BAF}"/>
            </c:ext>
          </c:extLst>
        </c:ser>
        <c:dLbls>
          <c:dLblPos val="outEnd"/>
          <c:showLegendKey val="0"/>
          <c:showVal val="1"/>
          <c:showCatName val="0"/>
          <c:showSerName val="0"/>
          <c:showPercent val="0"/>
          <c:showBubbleSize val="0"/>
        </c:dLbls>
        <c:gapWidth val="219"/>
        <c:overlap val="-27"/>
        <c:axId val="1568462912"/>
        <c:axId val="1568443232"/>
      </c:barChart>
      <c:catAx>
        <c:axId val="156846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600" b="1" i="0" u="none" strike="noStrike" kern="1200" baseline="0">
                <a:solidFill>
                  <a:schemeClr val="tx1"/>
                </a:solidFill>
                <a:latin typeface="Amasis MT Pro Black" panose="02040A04050005020304" pitchFamily="18" charset="0"/>
                <a:ea typeface="+mn-ea"/>
                <a:cs typeface="+mn-cs"/>
              </a:defRPr>
            </a:pPr>
            <a:endParaRPr lang="en-US"/>
          </a:p>
        </c:txPr>
        <c:crossAx val="1568443232"/>
        <c:crosses val="autoZero"/>
        <c:auto val="1"/>
        <c:lblAlgn val="ctr"/>
        <c:lblOffset val="100"/>
        <c:noMultiLvlLbl val="0"/>
      </c:catAx>
      <c:valAx>
        <c:axId val="1568443232"/>
        <c:scaling>
          <c:orientation val="minMax"/>
        </c:scaling>
        <c:delete val="1"/>
        <c:axPos val="l"/>
        <c:numFmt formatCode="General" sourceLinked="1"/>
        <c:majorTickMark val="none"/>
        <c:minorTickMark val="none"/>
        <c:tickLblPos val="nextTo"/>
        <c:crossAx val="1568462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[Bike_Sales_VLOOKUP (version 1).xlsb.xlsx]Sheet9!PivotTable9</c:name>
    <c:fmtId val="16"/>
  </c:pivotSource>
  <c:chart>
    <c:title>
      <c:tx>
        <c:rich>
          <a:bodyPr rot="0" spcFirstLastPara="1" vertOverflow="ellipsis" vert="horz" wrap="square" anchor="ctr" anchorCtr="1"/>
          <a:lstStyle/>
          <a:p>
            <a:pPr>
              <a:defRPr sz="7200" b="1" i="0" u="none" strike="noStrike" kern="1200" spc="0" baseline="0">
                <a:solidFill>
                  <a:sysClr val="windowText" lastClr="000000"/>
                </a:solidFill>
                <a:latin typeface="Amasis MT Pro Black" panose="02040A04050005020304" pitchFamily="18" charset="0"/>
                <a:ea typeface="+mn-ea"/>
                <a:cs typeface="+mn-cs"/>
              </a:defRPr>
            </a:pPr>
            <a:r>
              <a:rPr lang="en-US" sz="7200" b="1">
                <a:solidFill>
                  <a:sysClr val="windowText" lastClr="000000"/>
                </a:solidFill>
                <a:latin typeface="Amasis MT Pro Black" panose="02040A04050005020304" pitchFamily="18" charset="0"/>
              </a:rPr>
              <a:t>Age Group - Sub</a:t>
            </a:r>
            <a:r>
              <a:rPr lang="en-US" sz="7200" b="1" baseline="0">
                <a:solidFill>
                  <a:sysClr val="windowText" lastClr="000000"/>
                </a:solidFill>
                <a:latin typeface="Amasis MT Pro Black" panose="02040A04050005020304" pitchFamily="18" charset="0"/>
              </a:rPr>
              <a:t> Category</a:t>
            </a:r>
            <a:endParaRPr lang="en-US" sz="7200" b="1">
              <a:solidFill>
                <a:sysClr val="windowText" lastClr="000000"/>
              </a:solidFill>
              <a:latin typeface="Amasis MT Pro Black" panose="02040A04050005020304" pitchFamily="18" charset="0"/>
            </a:endParaRPr>
          </a:p>
        </c:rich>
      </c:tx>
      <c:overlay val="0"/>
      <c:spPr>
        <a:noFill/>
        <a:ln>
          <a:noFill/>
        </a:ln>
        <a:effectLst/>
      </c:spPr>
      <c:txPr>
        <a:bodyPr rot="0" spcFirstLastPara="1" vertOverflow="ellipsis" vert="horz" wrap="square" anchor="ctr" anchorCtr="1"/>
        <a:lstStyle/>
        <a:p>
          <a:pPr>
            <a:defRPr sz="7200" b="1" i="0" u="none" strike="noStrike" kern="1200" spc="0" baseline="0">
              <a:solidFill>
                <a:sysClr val="windowText" lastClr="000000"/>
              </a:solidFill>
              <a:latin typeface="Amasis MT Pro Black" panose="02040A04050005020304" pitchFamily="18" charset="0"/>
              <a:ea typeface="+mn-ea"/>
              <a:cs typeface="+mn-cs"/>
            </a:defRPr>
          </a:pPr>
          <a:endParaRPr lang="en-US"/>
        </a:p>
      </c:txPr>
    </c:title>
    <c:autoTitleDeleted val="0"/>
    <c:pivotFmts>
      <c:pivotFmt>
        <c:idx val="0"/>
        <c:spPr>
          <a:solidFill>
            <a:schemeClr val="accent1">
              <a:lumMod val="60000"/>
              <a:lumOff val="40000"/>
            </a:schemeClr>
          </a:solidFill>
          <a:ln>
            <a:noFill/>
          </a:ln>
          <a:effectLst/>
          <a:scene3d>
            <a:camera prst="orthographicFront"/>
            <a:lightRig rig="threePt" dir="t"/>
          </a:scene3d>
          <a:sp3d>
            <a:bevelT w="114300" prst="artDeco"/>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scene3d>
            <a:camera prst="orthographicFront"/>
            <a:lightRig rig="threePt" dir="t"/>
          </a:scene3d>
          <a:sp3d>
            <a:bevelT w="114300" prst="artDeco"/>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a:scene3d>
            <a:camera prst="orthographicFront"/>
            <a:lightRig rig="threePt" dir="t"/>
          </a:scene3d>
          <a:sp3d>
            <a:bevelT w="114300" prst="artDeco"/>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Sheet9!$B$3:$B$4</c:f>
              <c:strCache>
                <c:ptCount val="1"/>
                <c:pt idx="0">
                  <c:v>Mountain Bikes</c:v>
                </c:pt>
              </c:strCache>
            </c:strRef>
          </c:tx>
          <c:spPr>
            <a:solidFill>
              <a:schemeClr val="accent1">
                <a:lumMod val="60000"/>
                <a:lumOff val="40000"/>
              </a:schemeClr>
            </a:solidFill>
            <a:ln>
              <a:noFill/>
            </a:ln>
            <a:effectLst/>
            <a:scene3d>
              <a:camera prst="orthographicFront"/>
              <a:lightRig rig="threePt" dir="t"/>
            </a:scene3d>
            <a:sp3d>
              <a:bevelT w="114300" prst="artDeco"/>
            </a:sp3d>
          </c:spPr>
          <c:invertIfNegative val="0"/>
          <c:dLbls>
            <c:spPr>
              <a:noFill/>
              <a:ln>
                <a:noFill/>
              </a:ln>
              <a:effectLst/>
            </c:spPr>
            <c:txPr>
              <a:bodyPr rot="0" spcFirstLastPara="1" vertOverflow="ellipsis" vert="horz" wrap="square" lIns="38100" tIns="19050" rIns="38100" bIns="19050" anchor="ctr" anchorCtr="1">
                <a:spAutoFit/>
              </a:bodyPr>
              <a:lstStyle/>
              <a:p>
                <a:pPr>
                  <a:defRPr sz="6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Sheet9!$A$5:$A$9</c:f>
              <c:strCache>
                <c:ptCount val="4"/>
                <c:pt idx="0">
                  <c:v>Seniors (64+)</c:v>
                </c:pt>
                <c:pt idx="1">
                  <c:v>Youth (&lt;25)</c:v>
                </c:pt>
                <c:pt idx="2">
                  <c:v>Young Adults (25-34)</c:v>
                </c:pt>
                <c:pt idx="3">
                  <c:v>Adults (35-64)</c:v>
                </c:pt>
              </c:strCache>
            </c:strRef>
          </c:cat>
          <c:val>
            <c:numRef>
              <c:f>Sheet9!$B$5:$B$9</c:f>
              <c:numCache>
                <c:formatCode>General</c:formatCode>
                <c:ptCount val="4"/>
                <c:pt idx="1">
                  <c:v>22</c:v>
                </c:pt>
                <c:pt idx="2">
                  <c:v>96</c:v>
                </c:pt>
                <c:pt idx="3">
                  <c:v>114</c:v>
                </c:pt>
              </c:numCache>
            </c:numRef>
          </c:val>
          <c:extLst>
            <c:ext xmlns:c16="http://schemas.microsoft.com/office/drawing/2014/chart" uri="{C3380CC4-5D6E-409C-BE32-E72D297353CC}">
              <c16:uniqueId val="{00000000-06B4-4089-A9F4-3B32B1791D01}"/>
            </c:ext>
          </c:extLst>
        </c:ser>
        <c:ser>
          <c:idx val="1"/>
          <c:order val="1"/>
          <c:tx>
            <c:strRef>
              <c:f>Sheet9!$C$3:$C$4</c:f>
              <c:strCache>
                <c:ptCount val="1"/>
                <c:pt idx="0">
                  <c:v>Road Bikes</c:v>
                </c:pt>
              </c:strCache>
            </c:strRef>
          </c:tx>
          <c:spPr>
            <a:solidFill>
              <a:schemeClr val="accent1">
                <a:shade val="76000"/>
              </a:schemeClr>
            </a:solidFill>
            <a:ln>
              <a:noFill/>
            </a:ln>
            <a:effectLst/>
            <a:scene3d>
              <a:camera prst="orthographicFront"/>
              <a:lightRig rig="threePt" dir="t"/>
            </a:scene3d>
            <a:sp3d>
              <a:bevelT w="165100" prst="coolSlant"/>
            </a:sp3d>
          </c:spPr>
          <c:invertIfNegative val="0"/>
          <c:dLbls>
            <c:spPr>
              <a:noFill/>
              <a:ln>
                <a:noFill/>
              </a:ln>
              <a:effectLst/>
            </c:spPr>
            <c:txPr>
              <a:bodyPr rot="0" spcFirstLastPara="1" vertOverflow="ellipsis" vert="horz" wrap="square" lIns="38100" tIns="19050" rIns="38100" bIns="19050" anchor="ctr" anchorCtr="1">
                <a:spAutoFit/>
              </a:bodyPr>
              <a:lstStyle/>
              <a:p>
                <a:pPr>
                  <a:defRPr sz="7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Sheet9!$A$5:$A$9</c:f>
              <c:strCache>
                <c:ptCount val="4"/>
                <c:pt idx="0">
                  <c:v>Seniors (64+)</c:v>
                </c:pt>
                <c:pt idx="1">
                  <c:v>Youth (&lt;25)</c:v>
                </c:pt>
                <c:pt idx="2">
                  <c:v>Young Adults (25-34)</c:v>
                </c:pt>
                <c:pt idx="3">
                  <c:v>Adults (35-64)</c:v>
                </c:pt>
              </c:strCache>
            </c:strRef>
          </c:cat>
          <c:val>
            <c:numRef>
              <c:f>Sheet9!$C$5:$C$9</c:f>
              <c:numCache>
                <c:formatCode>General</c:formatCode>
                <c:ptCount val="4"/>
                <c:pt idx="0">
                  <c:v>2</c:v>
                </c:pt>
                <c:pt idx="1">
                  <c:v>88</c:v>
                </c:pt>
                <c:pt idx="2">
                  <c:v>182</c:v>
                </c:pt>
                <c:pt idx="3">
                  <c:v>248</c:v>
                </c:pt>
              </c:numCache>
            </c:numRef>
          </c:val>
          <c:extLst>
            <c:ext xmlns:c16="http://schemas.microsoft.com/office/drawing/2014/chart" uri="{C3380CC4-5D6E-409C-BE32-E72D297353CC}">
              <c16:uniqueId val="{00000001-06B4-4089-A9F4-3B32B1791D01}"/>
            </c:ext>
          </c:extLst>
        </c:ser>
        <c:dLbls>
          <c:dLblPos val="ctr"/>
          <c:showLegendKey val="0"/>
          <c:showVal val="1"/>
          <c:showCatName val="0"/>
          <c:showSerName val="0"/>
          <c:showPercent val="0"/>
          <c:showBubbleSize val="0"/>
        </c:dLbls>
        <c:gapWidth val="150"/>
        <c:overlap val="100"/>
        <c:axId val="1156563536"/>
        <c:axId val="1156555376"/>
      </c:barChart>
      <c:catAx>
        <c:axId val="115656353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6600" b="1" i="0" u="none" strike="noStrike" kern="1200" baseline="0">
                <a:solidFill>
                  <a:schemeClr val="tx1"/>
                </a:solidFill>
                <a:latin typeface="Amasis MT Pro Black" panose="02040A04050005020304" pitchFamily="18" charset="0"/>
                <a:ea typeface="+mn-ea"/>
                <a:cs typeface="+mn-cs"/>
              </a:defRPr>
            </a:pPr>
            <a:endParaRPr lang="en-US"/>
          </a:p>
        </c:txPr>
        <c:crossAx val="1156555376"/>
        <c:crosses val="autoZero"/>
        <c:auto val="1"/>
        <c:lblAlgn val="ctr"/>
        <c:lblOffset val="100"/>
        <c:noMultiLvlLbl val="0"/>
      </c:catAx>
      <c:valAx>
        <c:axId val="115655537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7200" b="1" i="0" u="none" strike="noStrike" kern="1200" baseline="0">
                <a:solidFill>
                  <a:schemeClr val="tx1"/>
                </a:solidFill>
                <a:latin typeface="+mn-lt"/>
                <a:ea typeface="+mn-ea"/>
                <a:cs typeface="+mn-cs"/>
              </a:defRPr>
            </a:pPr>
            <a:endParaRPr lang="en-US"/>
          </a:p>
        </c:txPr>
        <c:crossAx val="115656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5400" b="1" i="0" u="none" strike="noStrike" kern="1200" baseline="0">
              <a:solidFill>
                <a:schemeClr val="tx1"/>
              </a:solidFill>
              <a:latin typeface="Amasis MT Pro Black" panose="02040A04050005020304"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[Bike_Sales_VLOOKUP (version 1).xlsb.xlsx]Sheet7!PivotTable15</c:name>
    <c:fmtId val="25"/>
  </c:pivotSource>
  <c:chart>
    <c:title>
      <c:tx>
        <c:rich>
          <a:bodyPr rot="0" spcFirstLastPara="1" vertOverflow="ellipsis" vert="horz" wrap="square" anchor="ctr" anchorCtr="1"/>
          <a:lstStyle/>
          <a:p>
            <a:pPr>
              <a:defRPr sz="8800" b="1" i="0" u="none" strike="noStrike" kern="1200" spc="0" baseline="0">
                <a:solidFill>
                  <a:schemeClr val="tx1">
                    <a:alpha val="90000"/>
                  </a:schemeClr>
                </a:solidFill>
                <a:effectLst>
                  <a:glow>
                    <a:schemeClr val="accent1"/>
                  </a:glow>
                </a:effectLst>
                <a:latin typeface="Amasis MT Pro Black" panose="02040A04050005020304" pitchFamily="18" charset="0"/>
                <a:ea typeface="+mn-ea"/>
                <a:cs typeface="+mn-cs"/>
              </a:defRPr>
            </a:pPr>
            <a:r>
              <a:rPr lang="en-US" sz="8800" b="1">
                <a:solidFill>
                  <a:schemeClr val="tx1">
                    <a:alpha val="90000"/>
                  </a:schemeClr>
                </a:solidFill>
                <a:effectLst>
                  <a:glow>
                    <a:schemeClr val="accent1"/>
                  </a:glow>
                </a:effectLst>
                <a:latin typeface="Amasis MT Pro Black" panose="02040A04050005020304" pitchFamily="18" charset="0"/>
              </a:rPr>
              <a:t>state - category - colour</a:t>
            </a:r>
          </a:p>
        </c:rich>
      </c:tx>
      <c:layout>
        <c:manualLayout>
          <c:xMode val="edge"/>
          <c:yMode val="edge"/>
          <c:x val="0.32078376788931823"/>
          <c:y val="2.8086419184277504E-2"/>
        </c:manualLayout>
      </c:layout>
      <c:overlay val="0"/>
      <c:spPr>
        <a:noFill/>
        <a:ln>
          <a:noFill/>
        </a:ln>
        <a:effectLst>
          <a:glow>
            <a:schemeClr val="accent1">
              <a:alpha val="40000"/>
            </a:schemeClr>
          </a:glow>
        </a:effectLst>
      </c:spPr>
      <c:txPr>
        <a:bodyPr rot="0" spcFirstLastPara="1" vertOverflow="ellipsis" vert="horz" wrap="square" anchor="ctr" anchorCtr="1"/>
        <a:lstStyle/>
        <a:p>
          <a:pPr>
            <a:defRPr sz="8800" b="1" i="0" u="none" strike="noStrike" kern="1200" spc="0" baseline="0">
              <a:solidFill>
                <a:schemeClr val="tx1">
                  <a:alpha val="90000"/>
                </a:schemeClr>
              </a:solidFill>
              <a:effectLst>
                <a:glow>
                  <a:schemeClr val="accent1"/>
                </a:glow>
              </a:effectLst>
              <a:latin typeface="Amasis MT Pro Black" panose="02040A04050005020304" pitchFamily="18" charset="0"/>
              <a:ea typeface="+mn-ea"/>
              <a:cs typeface="+mn-cs"/>
            </a:defRPr>
          </a:pPr>
          <a:endParaRPr lang="en-US"/>
        </a:p>
      </c:txPr>
    </c:title>
    <c:autoTitleDeleted val="0"/>
    <c:pivotFmts>
      <c:pivotFmt>
        <c:idx val="0"/>
        <c:spPr>
          <a:solidFill>
            <a:schemeClr val="accent1">
              <a:lumMod val="75000"/>
            </a:schemeClr>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sp3d/>
        </c:spPr>
      </c:pivotFmt>
      <c:pivotFmt>
        <c:idx val="2"/>
        <c:spPr>
          <a:solidFill>
            <a:schemeClr val="accent1">
              <a:lumMod val="75000"/>
            </a:schemeClr>
          </a:solidFill>
          <a:ln>
            <a:noFill/>
          </a:ln>
          <a:effectLst/>
          <a:sp3d/>
        </c:spPr>
      </c:pivotFmt>
      <c:pivotFmt>
        <c:idx val="3"/>
        <c:spPr>
          <a:solidFill>
            <a:schemeClr val="accent1">
              <a:lumMod val="75000"/>
            </a:schemeClr>
          </a:solidFill>
          <a:ln>
            <a:noFill/>
          </a:ln>
          <a:effectLst/>
          <a:sp3d/>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9</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3997276373325775E-2"/>
                  <c:h val="5.478407781275442E-2"/>
                </c:manualLayout>
              </c15:layout>
              <c15:showDataLabelsRange val="0"/>
            </c:ext>
          </c:extLst>
        </c:dLbl>
      </c:pivotFmt>
      <c:pivotFmt>
        <c:idx val="4"/>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a:sp3d/>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9</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3997276373325775E-2"/>
                  <c:h val="5.478407781275442E-2"/>
                </c:manualLayout>
              </c15:layout>
              <c15:showDataLabelsRange val="0"/>
            </c:ext>
          </c:extLst>
        </c:dLbl>
      </c:pivotFmt>
      <c:pivotFmt>
        <c:idx val="6"/>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tx1"/>
                  </a:solidFill>
                  <a:latin typeface="Amasis MT Pro Black" panose="02040A040500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087885262694318E-2"/>
          <c:y val="7.5554293930834515E-2"/>
          <c:w val="0.92065616243614246"/>
          <c:h val="0.68563541167098041"/>
        </c:manualLayout>
      </c:layout>
      <c:bar3DChart>
        <c:barDir val="col"/>
        <c:grouping val="clustered"/>
        <c:varyColors val="0"/>
        <c:ser>
          <c:idx val="0"/>
          <c:order val="0"/>
          <c:tx>
            <c:strRef>
              <c:f>Sheet7!$B$3</c:f>
              <c:strCache>
                <c:ptCount val="1"/>
                <c:pt idx="0">
                  <c:v>Total</c:v>
                </c:pt>
              </c:strCache>
            </c:strRef>
          </c:tx>
          <c:spPr>
            <a:solidFill>
              <a:schemeClr val="accent1">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tx1"/>
                    </a:solidFill>
                    <a:latin typeface="Amasis MT Pro Black" panose="02040A0405000502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Sheet7!$A$4:$A$25</c:f>
              <c:strCache>
                <c:ptCount val="21"/>
                <c:pt idx="0">
                  <c:v>Bayern</c:v>
                </c:pt>
                <c:pt idx="1">
                  <c:v>Somme</c:v>
                </c:pt>
                <c:pt idx="2">
                  <c:v>Saarland</c:v>
                </c:pt>
                <c:pt idx="3">
                  <c:v>Moselle</c:v>
                </c:pt>
                <c:pt idx="4">
                  <c:v>Seine (Paris)</c:v>
                </c:pt>
                <c:pt idx="5">
                  <c:v>Hauts de Seine</c:v>
                </c:pt>
                <c:pt idx="6">
                  <c:v>Seine et Marne</c:v>
                </c:pt>
                <c:pt idx="7">
                  <c:v>Nord</c:v>
                </c:pt>
                <c:pt idx="8">
                  <c:v>Hamburg</c:v>
                </c:pt>
                <c:pt idx="9">
                  <c:v>Oregon</c:v>
                </c:pt>
                <c:pt idx="10">
                  <c:v>Hessen</c:v>
                </c:pt>
                <c:pt idx="11">
                  <c:v>British Columbia</c:v>
                </c:pt>
                <c:pt idx="12">
                  <c:v>Seine Saint Denis</c:v>
                </c:pt>
                <c:pt idx="13">
                  <c:v>South Australia</c:v>
                </c:pt>
                <c:pt idx="14">
                  <c:v>Nordrhein-Westfalen</c:v>
                </c:pt>
                <c:pt idx="15">
                  <c:v>Queensland</c:v>
                </c:pt>
                <c:pt idx="16">
                  <c:v>Victoria</c:v>
                </c:pt>
                <c:pt idx="17">
                  <c:v>England</c:v>
                </c:pt>
                <c:pt idx="18">
                  <c:v>Washington</c:v>
                </c:pt>
                <c:pt idx="19">
                  <c:v>New South Wales</c:v>
                </c:pt>
                <c:pt idx="20">
                  <c:v>California</c:v>
                </c:pt>
              </c:strCache>
            </c:strRef>
          </c:cat>
          <c:val>
            <c:numRef>
              <c:f>Sheet7!$B$4:$B$25</c:f>
              <c:numCache>
                <c:formatCode>General</c:formatCode>
                <c:ptCount val="21"/>
                <c:pt idx="0">
                  <c:v>1</c:v>
                </c:pt>
                <c:pt idx="1">
                  <c:v>1</c:v>
                </c:pt>
                <c:pt idx="2">
                  <c:v>1</c:v>
                </c:pt>
                <c:pt idx="3">
                  <c:v>1</c:v>
                </c:pt>
                <c:pt idx="4">
                  <c:v>1</c:v>
                </c:pt>
                <c:pt idx="5">
                  <c:v>1</c:v>
                </c:pt>
                <c:pt idx="6">
                  <c:v>1</c:v>
                </c:pt>
                <c:pt idx="7">
                  <c:v>2</c:v>
                </c:pt>
                <c:pt idx="8">
                  <c:v>2</c:v>
                </c:pt>
                <c:pt idx="9">
                  <c:v>2</c:v>
                </c:pt>
                <c:pt idx="10">
                  <c:v>2</c:v>
                </c:pt>
                <c:pt idx="11">
                  <c:v>2</c:v>
                </c:pt>
                <c:pt idx="12">
                  <c:v>2</c:v>
                </c:pt>
                <c:pt idx="13">
                  <c:v>3</c:v>
                </c:pt>
                <c:pt idx="14">
                  <c:v>5</c:v>
                </c:pt>
                <c:pt idx="15">
                  <c:v>10</c:v>
                </c:pt>
                <c:pt idx="16">
                  <c:v>11</c:v>
                </c:pt>
                <c:pt idx="17">
                  <c:v>14</c:v>
                </c:pt>
                <c:pt idx="18">
                  <c:v>15</c:v>
                </c:pt>
                <c:pt idx="19">
                  <c:v>20</c:v>
                </c:pt>
                <c:pt idx="20">
                  <c:v>22</c:v>
                </c:pt>
              </c:numCache>
            </c:numRef>
          </c:val>
          <c:extLst>
            <c:ext xmlns:c16="http://schemas.microsoft.com/office/drawing/2014/chart" uri="{C3380CC4-5D6E-409C-BE32-E72D297353CC}">
              <c16:uniqueId val="{00000001-5542-4559-8CD1-95212067777B}"/>
            </c:ext>
          </c:extLst>
        </c:ser>
        <c:dLbls>
          <c:showLegendKey val="0"/>
          <c:showVal val="1"/>
          <c:showCatName val="0"/>
          <c:showSerName val="0"/>
          <c:showPercent val="0"/>
          <c:showBubbleSize val="0"/>
        </c:dLbls>
        <c:gapWidth val="150"/>
        <c:shape val="box"/>
        <c:axId val="1795388384"/>
        <c:axId val="1795388864"/>
        <c:axId val="0"/>
      </c:bar3DChart>
      <c:catAx>
        <c:axId val="1795388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600" b="1" i="0" u="none" strike="noStrike" kern="1200" baseline="0">
                <a:solidFill>
                  <a:schemeClr val="tx1"/>
                </a:solidFill>
                <a:latin typeface="Amasis MT Pro Black" panose="02040A04050005020304" pitchFamily="18" charset="0"/>
                <a:ea typeface="+mn-ea"/>
                <a:cs typeface="+mn-cs"/>
              </a:defRPr>
            </a:pPr>
            <a:endParaRPr lang="en-US"/>
          </a:p>
        </c:txPr>
        <c:crossAx val="1795388864"/>
        <c:crosses val="autoZero"/>
        <c:auto val="1"/>
        <c:lblAlgn val="ctr"/>
        <c:lblOffset val="100"/>
        <c:noMultiLvlLbl val="0"/>
      </c:catAx>
      <c:valAx>
        <c:axId val="1795388864"/>
        <c:scaling>
          <c:orientation val="minMax"/>
        </c:scaling>
        <c:delete val="1"/>
        <c:axPos val="l"/>
        <c:numFmt formatCode="General" sourceLinked="1"/>
        <c:majorTickMark val="none"/>
        <c:minorTickMark val="none"/>
        <c:tickLblPos val="nextTo"/>
        <c:crossAx val="1795388384"/>
        <c:crosses val="autoZero"/>
        <c:crossBetween val="between"/>
      </c:valAx>
      <c:spPr>
        <a:noFill/>
        <a:ln>
          <a:noFill/>
        </a:ln>
        <a:effectLst>
          <a:glow rad="127000">
            <a:schemeClr val="accent1">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1">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236220</xdr:colOff>
      <xdr:row>6</xdr:row>
      <xdr:rowOff>41910</xdr:rowOff>
    </xdr:from>
    <xdr:to>
      <xdr:col>10</xdr:col>
      <xdr:colOff>541020</xdr:colOff>
      <xdr:row>21</xdr:row>
      <xdr:rowOff>41910</xdr:rowOff>
    </xdr:to>
    <xdr:graphicFrame macro="">
      <xdr:nvGraphicFramePr>
        <xdr:cNvPr id="3" name="Chart 2">
          <a:extLst>
            <a:ext uri="{FF2B5EF4-FFF2-40B4-BE49-F238E27FC236}">
              <a16:creationId xmlns:a16="http://schemas.microsoft.com/office/drawing/2014/main" id="{DCC1CA48-96B3-A569-A590-FB0819F8A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556260</xdr:colOff>
      <xdr:row>6</xdr:row>
      <xdr:rowOff>41910</xdr:rowOff>
    </xdr:from>
    <xdr:to>
      <xdr:col>11</xdr:col>
      <xdr:colOff>91440</xdr:colOff>
      <xdr:row>21</xdr:row>
      <xdr:rowOff>41910</xdr:rowOff>
    </xdr:to>
    <xdr:graphicFrame macro="">
      <xdr:nvGraphicFramePr>
        <xdr:cNvPr id="2" name="Chart 1">
          <a:extLst>
            <a:ext uri="{FF2B5EF4-FFF2-40B4-BE49-F238E27FC236}">
              <a16:creationId xmlns:a16="http://schemas.microsoft.com/office/drawing/2014/main" id="{25C9CC07-279B-E994-5BEB-658A6EC8F5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426720</xdr:colOff>
      <xdr:row>6</xdr:row>
      <xdr:rowOff>41910</xdr:rowOff>
    </xdr:from>
    <xdr:to>
      <xdr:col>12</xdr:col>
      <xdr:colOff>335280</xdr:colOff>
      <xdr:row>22</xdr:row>
      <xdr:rowOff>175260</xdr:rowOff>
    </xdr:to>
    <xdr:graphicFrame macro="">
      <xdr:nvGraphicFramePr>
        <xdr:cNvPr id="2" name="Chart 1">
          <a:extLst>
            <a:ext uri="{FF2B5EF4-FFF2-40B4-BE49-F238E27FC236}">
              <a16:creationId xmlns:a16="http://schemas.microsoft.com/office/drawing/2014/main" id="{AEEE4916-33D3-3AB6-F6D5-FDEB0B11F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434340</xdr:colOff>
      <xdr:row>4</xdr:row>
      <xdr:rowOff>64770</xdr:rowOff>
    </xdr:from>
    <xdr:to>
      <xdr:col>13</xdr:col>
      <xdr:colOff>144780</xdr:colOff>
      <xdr:row>22</xdr:row>
      <xdr:rowOff>129540</xdr:rowOff>
    </xdr:to>
    <xdr:graphicFrame macro="">
      <xdr:nvGraphicFramePr>
        <xdr:cNvPr id="2" name="Chart 1">
          <a:extLst>
            <a:ext uri="{FF2B5EF4-FFF2-40B4-BE49-F238E27FC236}">
              <a16:creationId xmlns:a16="http://schemas.microsoft.com/office/drawing/2014/main" id="{49688965-7130-A1AE-339E-07C36EC44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121920</xdr:colOff>
      <xdr:row>6</xdr:row>
      <xdr:rowOff>41910</xdr:rowOff>
    </xdr:from>
    <xdr:to>
      <xdr:col>17</xdr:col>
      <xdr:colOff>0</xdr:colOff>
      <xdr:row>26</xdr:row>
      <xdr:rowOff>160020</xdr:rowOff>
    </xdr:to>
    <xdr:graphicFrame macro="">
      <xdr:nvGraphicFramePr>
        <xdr:cNvPr id="2" name="Chart 1">
          <a:extLst>
            <a:ext uri="{FF2B5EF4-FFF2-40B4-BE49-F238E27FC236}">
              <a16:creationId xmlns:a16="http://schemas.microsoft.com/office/drawing/2014/main" id="{D837CB6F-654D-6489-FD12-A6A0E78E3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152399</xdr:colOff>
      <xdr:row>6</xdr:row>
      <xdr:rowOff>0</xdr:rowOff>
    </xdr:from>
    <xdr:to>
      <xdr:col>8</xdr:col>
      <xdr:colOff>612448</xdr:colOff>
      <xdr:row>15</xdr:row>
      <xdr:rowOff>99061</xdr:rowOff>
    </xdr:to>
    <mc:AlternateContent xmlns:mc="http://schemas.openxmlformats.org/markup-compatibility/2006" xmlns:a14="http://schemas.microsoft.com/office/drawing/2010/main">
      <mc:Choice Requires="a14">
        <xdr:graphicFrame macro="">
          <xdr:nvGraphicFramePr>
            <xdr:cNvPr id="3" name="Sub_Category">
              <a:extLst>
                <a:ext uri="{FF2B5EF4-FFF2-40B4-BE49-F238E27FC236}">
                  <a16:creationId xmlns:a16="http://schemas.microsoft.com/office/drawing/2014/main" id="{3140641B-BA93-CB34-941F-0955CC52C399}"/>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mlns="">
        <xdr:sp macro="" textlink="">
          <xdr:nvSpPr>
            <xdr:cNvPr id="0" name=""/>
            <xdr:cNvSpPr>
              <a:spLocks noTextEdit="1"/>
            </xdr:cNvSpPr>
          </xdr:nvSpPr>
          <xdr:spPr>
            <a:xfrm>
              <a:off x="3891185" y="1927790"/>
              <a:ext cx="1837346" cy="948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434340</xdr:colOff>
      <xdr:row>4</xdr:row>
      <xdr:rowOff>45720</xdr:rowOff>
    </xdr:from>
    <xdr:to>
      <xdr:col>13</xdr:col>
      <xdr:colOff>91440</xdr:colOff>
      <xdr:row>20</xdr:row>
      <xdr:rowOff>57150</xdr:rowOff>
    </xdr:to>
    <xdr:graphicFrame macro="">
      <xdr:nvGraphicFramePr>
        <xdr:cNvPr id="6" name="Chart 5">
          <a:extLst>
            <a:ext uri="{FF2B5EF4-FFF2-40B4-BE49-F238E27FC236}">
              <a16:creationId xmlns:a16="http://schemas.microsoft.com/office/drawing/2014/main" id="{09DFE175-B117-6D4E-66BD-495045C08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205483</xdr:colOff>
      <xdr:row>6</xdr:row>
      <xdr:rowOff>98402</xdr:rowOff>
    </xdr:from>
    <xdr:to>
      <xdr:col>8</xdr:col>
      <xdr:colOff>846588</xdr:colOff>
      <xdr:row>22</xdr:row>
      <xdr:rowOff>0</xdr:rowOff>
    </xdr:to>
    <xdr:graphicFrame macro="">
      <xdr:nvGraphicFramePr>
        <xdr:cNvPr id="4" name="Chart 3">
          <a:extLst>
            <a:ext uri="{FF2B5EF4-FFF2-40B4-BE49-F238E27FC236}">
              <a16:creationId xmlns:a16="http://schemas.microsoft.com/office/drawing/2014/main" id="{182F0A4C-0CA1-FA7C-270F-44E2FBEA4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645622</xdr:colOff>
      <xdr:row>9</xdr:row>
      <xdr:rowOff>74584</xdr:rowOff>
    </xdr:from>
    <xdr:to>
      <xdr:col>10</xdr:col>
      <xdr:colOff>834967</xdr:colOff>
      <xdr:row>16</xdr:row>
      <xdr:rowOff>138546</xdr:rowOff>
    </xdr:to>
    <mc:AlternateContent xmlns:mc="http://schemas.openxmlformats.org/markup-compatibility/2006" xmlns:a14="http://schemas.microsoft.com/office/drawing/2010/main">
      <mc:Choice Requires="a14">
        <xdr:graphicFrame macro="">
          <xdr:nvGraphicFramePr>
            <xdr:cNvPr id="5" name="category by colour ">
              <a:extLst>
                <a:ext uri="{FF2B5EF4-FFF2-40B4-BE49-F238E27FC236}">
                  <a16:creationId xmlns:a16="http://schemas.microsoft.com/office/drawing/2014/main" id="{19C77D72-5B4A-7531-568F-9BC91F14A038}"/>
                </a:ext>
              </a:extLst>
            </xdr:cNvPr>
            <xdr:cNvGraphicFramePr/>
          </xdr:nvGraphicFramePr>
          <xdr:xfrm>
            <a:off x="0" y="0"/>
            <a:ext cx="0" cy="0"/>
          </xdr:xfrm>
          <a:graphic>
            <a:graphicData uri="http://schemas.microsoft.com/office/drawing/2010/slicer">
              <sle:slicer xmlns:sle="http://schemas.microsoft.com/office/drawing/2010/slicer" name="category by colour "/>
            </a:graphicData>
          </a:graphic>
        </xdr:graphicFrame>
      </mc:Choice>
      <mc:Fallback xmlns="">
        <xdr:sp macro="" textlink="">
          <xdr:nvSpPr>
            <xdr:cNvPr id="0" name=""/>
            <xdr:cNvSpPr>
              <a:spLocks noTextEdit="1"/>
            </xdr:cNvSpPr>
          </xdr:nvSpPr>
          <xdr:spPr>
            <a:xfrm>
              <a:off x="9387218" y="1692764"/>
              <a:ext cx="1824648" cy="1322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332935</xdr:colOff>
      <xdr:row>40</xdr:row>
      <xdr:rowOff>0</xdr:rowOff>
    </xdr:from>
    <xdr:to>
      <xdr:col>47</xdr:col>
      <xdr:colOff>0</xdr:colOff>
      <xdr:row>168</xdr:row>
      <xdr:rowOff>76200</xdr:rowOff>
    </xdr:to>
    <xdr:graphicFrame macro="">
      <xdr:nvGraphicFramePr>
        <xdr:cNvPr id="2" name="Chart 1">
          <a:extLst>
            <a:ext uri="{FF2B5EF4-FFF2-40B4-BE49-F238E27FC236}">
              <a16:creationId xmlns:a16="http://schemas.microsoft.com/office/drawing/2014/main" id="{751AD383-23E7-47DC-85A5-E34402F21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54</xdr:col>
      <xdr:colOff>0</xdr:colOff>
      <xdr:row>42</xdr:row>
      <xdr:rowOff>0</xdr:rowOff>
    </xdr:from>
    <xdr:to>
      <xdr:col>100</xdr:col>
      <xdr:colOff>533400</xdr:colOff>
      <xdr:row>161</xdr:row>
      <xdr:rowOff>0</xdr:rowOff>
    </xdr:to>
    <xdr:graphicFrame macro="">
      <xdr:nvGraphicFramePr>
        <xdr:cNvPr id="3" name="Chart 2">
          <a:extLst>
            <a:ext uri="{FF2B5EF4-FFF2-40B4-BE49-F238E27FC236}">
              <a16:creationId xmlns:a16="http://schemas.microsoft.com/office/drawing/2014/main" id="{B200C5FF-41AA-4260-BD58-99A0260DB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532029</xdr:colOff>
      <xdr:row>189</xdr:row>
      <xdr:rowOff>62624</xdr:rowOff>
    </xdr:from>
    <xdr:to>
      <xdr:col>63</xdr:col>
      <xdr:colOff>533400</xdr:colOff>
      <xdr:row>325</xdr:row>
      <xdr:rowOff>76199</xdr:rowOff>
    </xdr:to>
    <xdr:graphicFrame macro="">
      <xdr:nvGraphicFramePr>
        <xdr:cNvPr id="4" name="Chart 3">
          <a:extLst>
            <a:ext uri="{FF2B5EF4-FFF2-40B4-BE49-F238E27FC236}">
              <a16:creationId xmlns:a16="http://schemas.microsoft.com/office/drawing/2014/main" id="{F5D34916-D241-4838-994F-5B5EE82A3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75</xdr:col>
      <xdr:colOff>76199</xdr:colOff>
      <xdr:row>192</xdr:row>
      <xdr:rowOff>76201</xdr:rowOff>
    </xdr:from>
    <xdr:to>
      <xdr:col>141</xdr:col>
      <xdr:colOff>76200</xdr:colOff>
      <xdr:row>320</xdr:row>
      <xdr:rowOff>76201</xdr:rowOff>
    </xdr:to>
    <xdr:graphicFrame macro="">
      <xdr:nvGraphicFramePr>
        <xdr:cNvPr id="5" name="Chart 4">
          <a:extLst>
            <a:ext uri="{FF2B5EF4-FFF2-40B4-BE49-F238E27FC236}">
              <a16:creationId xmlns:a16="http://schemas.microsoft.com/office/drawing/2014/main" id="{94AC7BE8-73E6-4DDB-AEB8-C477F1DF9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158</xdr:col>
      <xdr:colOff>427892</xdr:colOff>
      <xdr:row>53</xdr:row>
      <xdr:rowOff>76200</xdr:rowOff>
    </xdr:from>
    <xdr:to>
      <xdr:col>238</xdr:col>
      <xdr:colOff>304800</xdr:colOff>
      <xdr:row>154</xdr:row>
      <xdr:rowOff>76200</xdr:rowOff>
    </xdr:to>
    <xdr:graphicFrame macro="">
      <xdr:nvGraphicFramePr>
        <xdr:cNvPr id="6" name="Chart 5">
          <a:extLst>
            <a:ext uri="{FF2B5EF4-FFF2-40B4-BE49-F238E27FC236}">
              <a16:creationId xmlns:a16="http://schemas.microsoft.com/office/drawing/2014/main" id="{678EDB17-4D98-4267-B8A2-656240C96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107</xdr:col>
      <xdr:colOff>381000</xdr:colOff>
      <xdr:row>48</xdr:row>
      <xdr:rowOff>72728</xdr:rowOff>
    </xdr:from>
    <xdr:to>
      <xdr:col>158</xdr:col>
      <xdr:colOff>76199</xdr:colOff>
      <xdr:row>162</xdr:row>
      <xdr:rowOff>0</xdr:rowOff>
    </xdr:to>
    <xdr:graphicFrame macro="">
      <xdr:nvGraphicFramePr>
        <xdr:cNvPr id="8" name="Chart 7">
          <a:extLst>
            <a:ext uri="{FF2B5EF4-FFF2-40B4-BE49-F238E27FC236}">
              <a16:creationId xmlns:a16="http://schemas.microsoft.com/office/drawing/2014/main" id="{03E91A8E-5759-4BB1-A480-9AB289562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153</xdr:col>
      <xdr:colOff>23446</xdr:colOff>
      <xdr:row>187</xdr:row>
      <xdr:rowOff>41029</xdr:rowOff>
    </xdr:from>
    <xdr:to>
      <xdr:col>225</xdr:col>
      <xdr:colOff>304800</xdr:colOff>
      <xdr:row>328</xdr:row>
      <xdr:rowOff>76200</xdr:rowOff>
    </xdr:to>
    <xdr:graphicFrame macro="">
      <xdr:nvGraphicFramePr>
        <xdr:cNvPr id="9" name="Chart 8">
          <a:extLst>
            <a:ext uri="{FF2B5EF4-FFF2-40B4-BE49-F238E27FC236}">
              <a16:creationId xmlns:a16="http://schemas.microsoft.com/office/drawing/2014/main" id="{C73B7D75-4C7D-4939-B47C-F9385B226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92</xdr:col>
      <xdr:colOff>448406</xdr:colOff>
      <xdr:row>4</xdr:row>
      <xdr:rowOff>64585</xdr:rowOff>
    </xdr:from>
    <xdr:ext cx="33841594" cy="5477462"/>
    <xdr:sp macro="" textlink="">
      <xdr:nvSpPr>
        <xdr:cNvPr id="12" name="Rectangle 11">
          <a:extLst>
            <a:ext uri="{FF2B5EF4-FFF2-40B4-BE49-F238E27FC236}">
              <a16:creationId xmlns:a16="http://schemas.microsoft.com/office/drawing/2014/main" id="{430956AB-240E-1971-B71D-75AC4E11F877}"/>
            </a:ext>
          </a:extLst>
        </xdr:cNvPr>
        <xdr:cNvSpPr/>
      </xdr:nvSpPr>
      <xdr:spPr>
        <a:xfrm>
          <a:off x="56531606" y="674185"/>
          <a:ext cx="33841594" cy="5477462"/>
        </a:xfrm>
        <a:prstGeom prst="rect">
          <a:avLst/>
        </a:prstGeom>
        <a:noFill/>
      </xdr:spPr>
      <xdr:txBody>
        <a:bodyPr wrap="square" lIns="91440" tIns="45720" rIns="91440" bIns="45720">
          <a:spAutoFit/>
        </a:bodyPr>
        <a:lstStyle/>
        <a:p>
          <a:pPr algn="ctr"/>
          <a:r>
            <a:rPr lang="en-US" sz="34400" b="0" cap="none" spc="0">
              <a:ln w="0"/>
              <a:solidFill>
                <a:schemeClr val="tx1"/>
              </a:solidFill>
              <a:effectLst>
                <a:outerShdw blurRad="38100" dist="25400" dir="5400000" algn="ctr" rotWithShape="0">
                  <a:srgbClr val="6E747A">
                    <a:alpha val="43000"/>
                  </a:srgbClr>
                </a:outerShdw>
              </a:effectLst>
            </a:rPr>
            <a:t>Sales</a:t>
          </a:r>
          <a:r>
            <a:rPr lang="en-US" sz="34400" b="0" cap="none" spc="0" baseline="0">
              <a:ln w="0"/>
              <a:solidFill>
                <a:schemeClr val="tx1"/>
              </a:solidFill>
              <a:effectLst>
                <a:outerShdw blurRad="38100" dist="25400" dir="5400000" algn="ctr" rotWithShape="0">
                  <a:srgbClr val="6E747A">
                    <a:alpha val="43000"/>
                  </a:srgbClr>
                </a:outerShdw>
              </a:effectLst>
            </a:rPr>
            <a:t> Dashboard</a:t>
          </a:r>
          <a:endParaRPr lang="en-US" sz="34400" b="0" cap="none" spc="0">
            <a:ln w="0"/>
            <a:solidFill>
              <a:schemeClr val="tx1"/>
            </a:solidFill>
            <a:effectLst>
              <a:outerShdw blurRad="38100" dist="25400" dir="5400000" algn="ctr" rotWithShape="0">
                <a:srgbClr val="6E747A">
                  <a:alpha val="43000"/>
                </a:srgbClr>
              </a:outerShdw>
            </a:effectLst>
          </a:endParaRPr>
        </a:p>
      </xdr:txBody>
    </xdr:sp>
    <xdr:clientData/>
  </xdr:oneCellAnchor>
  <xdr:twoCellAnchor editAs="oneCell">
    <xdr:from>
      <xdr:col>148</xdr:col>
      <xdr:colOff>228600</xdr:colOff>
      <xdr:row>176</xdr:row>
      <xdr:rowOff>0</xdr:rowOff>
    </xdr:from>
    <xdr:to>
      <xdr:col>173</xdr:col>
      <xdr:colOff>550546</xdr:colOff>
      <xdr:row>218</xdr:row>
      <xdr:rowOff>76200</xdr:rowOff>
    </xdr:to>
    <mc:AlternateContent xmlns:mc="http://schemas.openxmlformats.org/markup-compatibility/2006">
      <mc:Choice xmlns:a14="http://schemas.microsoft.com/office/drawing/2010/main" Requires="a14">
        <xdr:graphicFrame macro="">
          <xdr:nvGraphicFramePr>
            <xdr:cNvPr id="13" name="category by colour  1">
              <a:extLst>
                <a:ext uri="{FF2B5EF4-FFF2-40B4-BE49-F238E27FC236}">
                  <a16:creationId xmlns:a16="http://schemas.microsoft.com/office/drawing/2014/main" id="{D5CC4076-FF30-93CE-5E8A-E2C79A7BE567}"/>
                </a:ext>
              </a:extLst>
            </xdr:cNvPr>
            <xdr:cNvGraphicFramePr/>
          </xdr:nvGraphicFramePr>
          <xdr:xfrm>
            <a:off x="0" y="0"/>
            <a:ext cx="0" cy="0"/>
          </xdr:xfrm>
          <a:graphic>
            <a:graphicData uri="http://schemas.microsoft.com/office/drawing/2010/slicer">
              <sle:slicer xmlns:sle="http://schemas.microsoft.com/office/drawing/2010/slicer" name="category by colour  1"/>
            </a:graphicData>
          </a:graphic>
        </xdr:graphicFrame>
      </mc:Choice>
      <mc:Fallback>
        <xdr:sp macro="" textlink="">
          <xdr:nvSpPr>
            <xdr:cNvPr id="0" name=""/>
            <xdr:cNvSpPr>
              <a:spLocks noTextEdit="1"/>
            </xdr:cNvSpPr>
          </xdr:nvSpPr>
          <xdr:spPr>
            <a:xfrm>
              <a:off x="90449400" y="26822400"/>
              <a:ext cx="15561946" cy="647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456.864516435184" createdVersion="8" refreshedVersion="8" minRefreshableVersion="3" recordCount="752" xr:uid="{8C02CA00-8829-409E-A15E-63B9F7C3E232}">
  <cacheSource type="worksheet">
    <worksheetSource name="Table1"/>
  </cacheSource>
  <cacheFields count="19">
    <cacheField name="Date" numFmtId="14">
      <sharedItems containsSemiMixedTypes="0" containsNonDate="0" containsDate="1" containsString="0" minDate="2021-10-01T00:00:00" maxDate="2022-01-01T00:00:00"/>
    </cacheField>
    <cacheField name="Day" numFmtId="0">
      <sharedItems containsSemiMixedTypes="0" containsString="0" containsNumber="1" containsInteger="1" minValue="1" maxValue="31"/>
    </cacheField>
    <cacheField name="Month" numFmtId="0">
      <sharedItems count="3">
        <s v="October"/>
        <s v="November"/>
        <s v="December"/>
      </sharedItems>
    </cacheField>
    <cacheField name="Year" numFmtId="0">
      <sharedItems containsSemiMixedTypes="0" containsString="0" containsNumber="1" containsInteger="1" minValue="2021" maxValue="2021"/>
    </cacheField>
    <cacheField name="Customer_Age" numFmtId="0">
      <sharedItems containsSemiMixedTypes="0" containsString="0" containsNumber="1" containsInteger="1" minValue="17" maxValue="75"/>
    </cacheField>
    <cacheField name="Age_Group" numFmtId="0">
      <sharedItems count="4">
        <s v="Adults (35-64)"/>
        <s v="Young Adults (25-34)"/>
        <s v="Youth (&lt;25)"/>
        <s v="Seniors (64+)"/>
      </sharedItems>
    </cacheField>
    <cacheField name="CustoMaleer_Gender" numFmtId="0">
      <sharedItems count="2">
        <s v="Female"/>
        <s v="Male"/>
      </sharedItems>
    </cacheField>
    <cacheField name="Country" numFmtId="0">
      <sharedItems count="6">
        <s v="United States"/>
        <s v="Canada"/>
        <s v="United Kingdom"/>
        <s v="Australia"/>
        <s v="Germany"/>
        <s v="France"/>
      </sharedItems>
    </cacheField>
    <cacheField name="State" numFmtId="0">
      <sharedItems count="32">
        <s v="California"/>
        <s v="British Columbia"/>
        <s v="England"/>
        <s v="Queensland"/>
        <s v="South Australia"/>
        <s v="New South Wales"/>
        <s v="Hamburg"/>
        <s v="Victoria"/>
        <s v="Washington"/>
        <s v="Hauts de Seine"/>
        <s v="Nord"/>
        <s v="Nordrhein-Westfalen"/>
        <s v="Saarland"/>
        <s v="Loir et Cher"/>
        <s v="Moselle"/>
        <s v="Bayern"/>
        <s v="Tasmania"/>
        <s v="Oregon"/>
        <s v="Hessen"/>
        <s v="Val de Marne"/>
        <s v="Texas"/>
        <s v="Seine Saint Denis"/>
        <s v="Essonne"/>
        <s v="Seine (Paris)"/>
        <s v="Loiret"/>
        <s v="Seine et Marne"/>
        <s v="Brandenburg"/>
        <s v="Yveline"/>
        <s v="Somme"/>
        <s v="Garonne (Haute)"/>
        <s v="Charente-Maritime"/>
        <s v="Pas de Calais"/>
      </sharedItems>
    </cacheField>
    <cacheField name="Sub_Category" numFmtId="0">
      <sharedItems count="2">
        <s v="Road Bikes"/>
        <s v="Mountain Bikes"/>
      </sharedItems>
    </cacheField>
    <cacheField name="Product" numFmtId="0">
      <sharedItems/>
    </cacheField>
    <cacheField name="Order_Quantity" numFmtId="0">
      <sharedItems containsSemiMixedTypes="0" containsString="0" containsNumber="1" containsInteger="1" minValue="1" maxValue="4"/>
    </cacheField>
    <cacheField name="Unit_Cost" numFmtId="164">
      <sharedItems containsSemiMixedTypes="0" containsString="0" containsNumber="1" containsInteger="1" minValue="713" maxValue="713"/>
    </cacheField>
    <cacheField name="Unit_Price" numFmtId="164">
      <sharedItems containsSemiMixedTypes="0" containsString="0" containsNumber="1" containsInteger="1" minValue="1120" maxValue="1120"/>
    </cacheField>
    <cacheField name="total sales" numFmtId="164">
      <sharedItems containsSemiMixedTypes="0" containsString="0" containsNumber="1" containsInteger="1" minValue="1120" maxValue="4480"/>
    </cacheField>
    <cacheField name="total cost" numFmtId="164">
      <sharedItems containsSemiMixedTypes="0" containsString="0" containsNumber="1" containsInteger="1" minValue="713" maxValue="2852"/>
    </cacheField>
    <cacheField name="total profit" numFmtId="164">
      <sharedItems containsSemiMixedTypes="0" containsString="0" containsNumber="1" containsInteger="1" minValue="407" maxValue="1628"/>
    </cacheField>
    <cacheField name="bike colour" numFmtId="164">
      <sharedItems/>
    </cacheField>
    <cacheField name="category by colour " numFmtId="164">
      <sharedItems count="5">
        <s v="Road Bikes-yellow"/>
        <s v="Road Bikes-red"/>
        <s v="Mountain Bikes-black"/>
        <s v="Mountain Bikes-silver"/>
        <s v="Road Bikes-black"/>
      </sharedItems>
    </cacheField>
  </cacheFields>
  <extLst>
    <ext xmlns:x14="http://schemas.microsoft.com/office/spreadsheetml/2009/9/main" uri="{725AE2AE-9491-48be-B2B4-4EB974FC3084}">
      <x14:pivotCacheDefinition pivotCacheId="19956266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2">
  <r>
    <d v="2021-10-01T00:00:00"/>
    <n v="1"/>
    <x v="0"/>
    <n v="2021"/>
    <n v="48"/>
    <x v="0"/>
    <x v="0"/>
    <x v="0"/>
    <x v="0"/>
    <x v="0"/>
    <s v="Road-550-W Yellow, 40"/>
    <n v="3"/>
    <n v="713"/>
    <n v="1120"/>
    <n v="3360"/>
    <n v="2139"/>
    <n v="1221"/>
    <s v="yellow"/>
    <x v="0"/>
  </r>
  <r>
    <d v="2021-10-01T00:00:00"/>
    <n v="1"/>
    <x v="0"/>
    <n v="2021"/>
    <n v="27"/>
    <x v="1"/>
    <x v="1"/>
    <x v="1"/>
    <x v="1"/>
    <x v="0"/>
    <s v="Road-650 Red, 44"/>
    <n v="2"/>
    <n v="713"/>
    <n v="1120"/>
    <n v="2240"/>
    <n v="1426"/>
    <n v="814"/>
    <s v="red"/>
    <x v="1"/>
  </r>
  <r>
    <d v="2021-10-01T00:00:00"/>
    <n v="1"/>
    <x v="0"/>
    <n v="2021"/>
    <n v="28"/>
    <x v="1"/>
    <x v="1"/>
    <x v="2"/>
    <x v="2"/>
    <x v="1"/>
    <s v="Mountain-200 Black, 38"/>
    <n v="2"/>
    <n v="713"/>
    <n v="1120"/>
    <n v="2240"/>
    <n v="1426"/>
    <n v="814"/>
    <s v="black"/>
    <x v="2"/>
  </r>
  <r>
    <d v="2021-10-01T00:00:00"/>
    <n v="1"/>
    <x v="0"/>
    <n v="2021"/>
    <n v="40"/>
    <x v="0"/>
    <x v="0"/>
    <x v="3"/>
    <x v="3"/>
    <x v="0"/>
    <s v="Road-350-W Yellow, 40"/>
    <n v="2"/>
    <n v="713"/>
    <n v="1120"/>
    <n v="2240"/>
    <n v="1426"/>
    <n v="814"/>
    <s v="yellow"/>
    <x v="0"/>
  </r>
  <r>
    <d v="2021-10-01T00:00:00"/>
    <n v="1"/>
    <x v="0"/>
    <n v="2021"/>
    <n v="28"/>
    <x v="1"/>
    <x v="1"/>
    <x v="3"/>
    <x v="4"/>
    <x v="1"/>
    <s v="Mountain-200 Silver, 38"/>
    <n v="1"/>
    <n v="713"/>
    <n v="1120"/>
    <n v="1120"/>
    <n v="713"/>
    <n v="407"/>
    <s v="silver"/>
    <x v="3"/>
  </r>
  <r>
    <d v="2021-10-01T00:00:00"/>
    <n v="1"/>
    <x v="0"/>
    <n v="2021"/>
    <n v="36"/>
    <x v="0"/>
    <x v="0"/>
    <x v="0"/>
    <x v="0"/>
    <x v="0"/>
    <s v="Road-650 Red, 62"/>
    <n v="1"/>
    <n v="713"/>
    <n v="1120"/>
    <n v="1120"/>
    <n v="713"/>
    <n v="407"/>
    <s v="red"/>
    <x v="1"/>
  </r>
  <r>
    <d v="2021-10-01T00:00:00"/>
    <n v="1"/>
    <x v="0"/>
    <n v="2021"/>
    <n v="53"/>
    <x v="0"/>
    <x v="1"/>
    <x v="3"/>
    <x v="5"/>
    <x v="1"/>
    <s v="Mountain-200 Black, 42"/>
    <n v="1"/>
    <n v="713"/>
    <n v="1120"/>
    <n v="1120"/>
    <n v="713"/>
    <n v="407"/>
    <s v="black"/>
    <x v="2"/>
  </r>
  <r>
    <d v="2021-10-01T00:00:00"/>
    <n v="1"/>
    <x v="0"/>
    <n v="2021"/>
    <n v="62"/>
    <x v="0"/>
    <x v="1"/>
    <x v="0"/>
    <x v="0"/>
    <x v="0"/>
    <s v="Road-150 Red, 56"/>
    <n v="1"/>
    <n v="713"/>
    <n v="1120"/>
    <n v="1120"/>
    <n v="713"/>
    <n v="407"/>
    <s v="red"/>
    <x v="1"/>
  </r>
  <r>
    <d v="2021-10-02T00:00:00"/>
    <n v="2"/>
    <x v="0"/>
    <n v="2021"/>
    <n v="28"/>
    <x v="1"/>
    <x v="0"/>
    <x v="3"/>
    <x v="5"/>
    <x v="1"/>
    <s v="Mountain-200 Black, 38"/>
    <n v="3"/>
    <n v="713"/>
    <n v="1120"/>
    <n v="3360"/>
    <n v="2139"/>
    <n v="1221"/>
    <s v="black"/>
    <x v="2"/>
  </r>
  <r>
    <d v="2021-10-02T00:00:00"/>
    <n v="2"/>
    <x v="0"/>
    <n v="2021"/>
    <n v="29"/>
    <x v="1"/>
    <x v="0"/>
    <x v="3"/>
    <x v="5"/>
    <x v="1"/>
    <s v="Mountain-200 Silver, 38"/>
    <n v="3"/>
    <n v="713"/>
    <n v="1120"/>
    <n v="3360"/>
    <n v="2139"/>
    <n v="1221"/>
    <s v="silver"/>
    <x v="3"/>
  </r>
  <r>
    <d v="2021-10-02T00:00:00"/>
    <n v="2"/>
    <x v="0"/>
    <n v="2021"/>
    <n v="28"/>
    <x v="1"/>
    <x v="0"/>
    <x v="3"/>
    <x v="5"/>
    <x v="1"/>
    <s v="Mountain-200 Black, 38"/>
    <n v="2"/>
    <n v="713"/>
    <n v="1120"/>
    <n v="2240"/>
    <n v="1426"/>
    <n v="814"/>
    <s v="black"/>
    <x v="2"/>
  </r>
  <r>
    <d v="2021-10-02T00:00:00"/>
    <n v="2"/>
    <x v="0"/>
    <n v="2021"/>
    <n v="47"/>
    <x v="0"/>
    <x v="0"/>
    <x v="0"/>
    <x v="0"/>
    <x v="0"/>
    <s v="Road-350-W Yellow, 42"/>
    <n v="2"/>
    <n v="713"/>
    <n v="1120"/>
    <n v="2240"/>
    <n v="1426"/>
    <n v="814"/>
    <s v="yellow"/>
    <x v="0"/>
  </r>
  <r>
    <d v="2021-10-02T00:00:00"/>
    <n v="2"/>
    <x v="0"/>
    <n v="2021"/>
    <n v="38"/>
    <x v="0"/>
    <x v="0"/>
    <x v="2"/>
    <x v="2"/>
    <x v="0"/>
    <s v="Road-250 Red, 44"/>
    <n v="1"/>
    <n v="713"/>
    <n v="1120"/>
    <n v="1120"/>
    <n v="713"/>
    <n v="407"/>
    <s v="red"/>
    <x v="1"/>
  </r>
  <r>
    <d v="2021-10-02T00:00:00"/>
    <n v="2"/>
    <x v="0"/>
    <n v="2021"/>
    <n v="43"/>
    <x v="0"/>
    <x v="1"/>
    <x v="3"/>
    <x v="5"/>
    <x v="0"/>
    <s v="Road-150 Red, 52"/>
    <n v="1"/>
    <n v="713"/>
    <n v="1120"/>
    <n v="1120"/>
    <n v="713"/>
    <n v="407"/>
    <s v="red"/>
    <x v="1"/>
  </r>
  <r>
    <d v="2021-10-02T00:00:00"/>
    <n v="2"/>
    <x v="0"/>
    <n v="2021"/>
    <n v="46"/>
    <x v="0"/>
    <x v="1"/>
    <x v="0"/>
    <x v="0"/>
    <x v="0"/>
    <s v="Road-150 Red, 52"/>
    <n v="1"/>
    <n v="713"/>
    <n v="1120"/>
    <n v="1120"/>
    <n v="713"/>
    <n v="407"/>
    <s v="red"/>
    <x v="1"/>
  </r>
  <r>
    <d v="2021-10-02T00:00:00"/>
    <n v="2"/>
    <x v="0"/>
    <n v="2021"/>
    <n v="50"/>
    <x v="0"/>
    <x v="1"/>
    <x v="3"/>
    <x v="3"/>
    <x v="1"/>
    <s v="Mountain-500 Black, 44"/>
    <n v="1"/>
    <n v="713"/>
    <n v="1120"/>
    <n v="1120"/>
    <n v="713"/>
    <n v="407"/>
    <s v="black"/>
    <x v="2"/>
  </r>
  <r>
    <d v="2021-10-03T00:00:00"/>
    <n v="3"/>
    <x v="0"/>
    <n v="2021"/>
    <n v="34"/>
    <x v="1"/>
    <x v="0"/>
    <x v="3"/>
    <x v="5"/>
    <x v="0"/>
    <s v="Road-250 Black, 44"/>
    <n v="4"/>
    <n v="713"/>
    <n v="1120"/>
    <n v="4480"/>
    <n v="2852"/>
    <n v="1628"/>
    <s v="black"/>
    <x v="4"/>
  </r>
  <r>
    <d v="2021-10-03T00:00:00"/>
    <n v="3"/>
    <x v="0"/>
    <n v="2021"/>
    <n v="46"/>
    <x v="0"/>
    <x v="1"/>
    <x v="3"/>
    <x v="5"/>
    <x v="0"/>
    <s v="Road-750 Black, 48"/>
    <n v="4"/>
    <n v="713"/>
    <n v="1120"/>
    <n v="4480"/>
    <n v="2852"/>
    <n v="1628"/>
    <s v="black"/>
    <x v="4"/>
  </r>
  <r>
    <d v="2021-10-03T00:00:00"/>
    <n v="3"/>
    <x v="0"/>
    <n v="2021"/>
    <n v="30"/>
    <x v="1"/>
    <x v="0"/>
    <x v="4"/>
    <x v="6"/>
    <x v="0"/>
    <s v="Road-250 Black, 44"/>
    <n v="1"/>
    <n v="713"/>
    <n v="1120"/>
    <n v="1120"/>
    <n v="713"/>
    <n v="407"/>
    <s v="black"/>
    <x v="4"/>
  </r>
  <r>
    <d v="2021-10-03T00:00:00"/>
    <n v="3"/>
    <x v="0"/>
    <n v="2021"/>
    <n v="36"/>
    <x v="0"/>
    <x v="1"/>
    <x v="3"/>
    <x v="4"/>
    <x v="0"/>
    <s v="Road-550-W Yellow, 48"/>
    <n v="1"/>
    <n v="713"/>
    <n v="1120"/>
    <n v="1120"/>
    <n v="713"/>
    <n v="407"/>
    <s v="yellow"/>
    <x v="0"/>
  </r>
  <r>
    <d v="2021-10-03T00:00:00"/>
    <n v="3"/>
    <x v="0"/>
    <n v="2021"/>
    <n v="38"/>
    <x v="0"/>
    <x v="0"/>
    <x v="3"/>
    <x v="7"/>
    <x v="0"/>
    <s v="Road-250 Red, 58"/>
    <n v="1"/>
    <n v="713"/>
    <n v="1120"/>
    <n v="1120"/>
    <n v="713"/>
    <n v="407"/>
    <s v="red"/>
    <x v="1"/>
  </r>
  <r>
    <d v="2021-10-03T00:00:00"/>
    <n v="3"/>
    <x v="0"/>
    <n v="2021"/>
    <n v="51"/>
    <x v="0"/>
    <x v="1"/>
    <x v="0"/>
    <x v="8"/>
    <x v="1"/>
    <s v="Mountain-100 Black, 48"/>
    <n v="1"/>
    <n v="713"/>
    <n v="1120"/>
    <n v="1120"/>
    <n v="713"/>
    <n v="407"/>
    <s v="black"/>
    <x v="2"/>
  </r>
  <r>
    <d v="2021-10-03T00:00:00"/>
    <n v="3"/>
    <x v="0"/>
    <n v="2021"/>
    <n v="52"/>
    <x v="0"/>
    <x v="1"/>
    <x v="3"/>
    <x v="5"/>
    <x v="1"/>
    <s v="Mountain-200 Silver, 38"/>
    <n v="1"/>
    <n v="713"/>
    <n v="1120"/>
    <n v="1120"/>
    <n v="713"/>
    <n v="407"/>
    <s v="silver"/>
    <x v="3"/>
  </r>
  <r>
    <d v="2021-10-04T00:00:00"/>
    <n v="4"/>
    <x v="0"/>
    <n v="2021"/>
    <n v="21"/>
    <x v="2"/>
    <x v="0"/>
    <x v="0"/>
    <x v="0"/>
    <x v="0"/>
    <s v="Road-550-W Yellow, 40"/>
    <n v="4"/>
    <n v="713"/>
    <n v="1120"/>
    <n v="4480"/>
    <n v="2852"/>
    <n v="1628"/>
    <s v="yellow"/>
    <x v="0"/>
  </r>
  <r>
    <d v="2021-10-04T00:00:00"/>
    <n v="4"/>
    <x v="0"/>
    <n v="2021"/>
    <n v="53"/>
    <x v="0"/>
    <x v="1"/>
    <x v="5"/>
    <x v="9"/>
    <x v="0"/>
    <s v="Road-250 Black, 58"/>
    <n v="4"/>
    <n v="713"/>
    <n v="1120"/>
    <n v="4480"/>
    <n v="2852"/>
    <n v="1628"/>
    <s v="black"/>
    <x v="4"/>
  </r>
  <r>
    <d v="2021-10-04T00:00:00"/>
    <n v="4"/>
    <x v="0"/>
    <n v="2021"/>
    <n v="29"/>
    <x v="1"/>
    <x v="1"/>
    <x v="5"/>
    <x v="10"/>
    <x v="0"/>
    <s v="Road-150 Red, 48"/>
    <n v="2"/>
    <n v="713"/>
    <n v="1120"/>
    <n v="2240"/>
    <n v="1426"/>
    <n v="814"/>
    <s v="red"/>
    <x v="1"/>
  </r>
  <r>
    <d v="2021-10-04T00:00:00"/>
    <n v="4"/>
    <x v="0"/>
    <n v="2021"/>
    <n v="45"/>
    <x v="0"/>
    <x v="0"/>
    <x v="0"/>
    <x v="0"/>
    <x v="0"/>
    <s v="Road-750 Black, 52"/>
    <n v="2"/>
    <n v="713"/>
    <n v="1120"/>
    <n v="2240"/>
    <n v="1426"/>
    <n v="814"/>
    <s v="black"/>
    <x v="4"/>
  </r>
  <r>
    <d v="2021-10-04T00:00:00"/>
    <n v="4"/>
    <x v="0"/>
    <n v="2021"/>
    <n v="38"/>
    <x v="0"/>
    <x v="1"/>
    <x v="2"/>
    <x v="2"/>
    <x v="1"/>
    <s v="Mountain-200 Silver, 42"/>
    <n v="1"/>
    <n v="713"/>
    <n v="1120"/>
    <n v="1120"/>
    <n v="713"/>
    <n v="407"/>
    <s v="silver"/>
    <x v="3"/>
  </r>
  <r>
    <d v="2021-10-04T00:00:00"/>
    <n v="4"/>
    <x v="0"/>
    <n v="2021"/>
    <n v="38"/>
    <x v="0"/>
    <x v="1"/>
    <x v="2"/>
    <x v="2"/>
    <x v="0"/>
    <s v="Road-250 Black, 52"/>
    <n v="1"/>
    <n v="713"/>
    <n v="1120"/>
    <n v="1120"/>
    <n v="713"/>
    <n v="407"/>
    <s v="black"/>
    <x v="4"/>
  </r>
  <r>
    <d v="2021-10-04T00:00:00"/>
    <n v="4"/>
    <x v="0"/>
    <n v="2021"/>
    <n v="54"/>
    <x v="0"/>
    <x v="0"/>
    <x v="2"/>
    <x v="2"/>
    <x v="0"/>
    <s v="Road-750 Black, 52"/>
    <n v="1"/>
    <n v="713"/>
    <n v="1120"/>
    <n v="1120"/>
    <n v="713"/>
    <n v="407"/>
    <s v="black"/>
    <x v="4"/>
  </r>
  <r>
    <d v="2021-10-05T00:00:00"/>
    <n v="5"/>
    <x v="0"/>
    <n v="2021"/>
    <n v="30"/>
    <x v="1"/>
    <x v="1"/>
    <x v="0"/>
    <x v="8"/>
    <x v="1"/>
    <s v="Mountain-200 Silver, 38"/>
    <n v="4"/>
    <n v="713"/>
    <n v="1120"/>
    <n v="4480"/>
    <n v="2852"/>
    <n v="1628"/>
    <s v="silver"/>
    <x v="3"/>
  </r>
  <r>
    <d v="2021-10-05T00:00:00"/>
    <n v="5"/>
    <x v="0"/>
    <n v="2021"/>
    <n v="40"/>
    <x v="0"/>
    <x v="1"/>
    <x v="4"/>
    <x v="11"/>
    <x v="0"/>
    <s v="Road-250 Red, 58"/>
    <n v="1"/>
    <n v="713"/>
    <n v="1120"/>
    <n v="1120"/>
    <n v="713"/>
    <n v="407"/>
    <s v="red"/>
    <x v="1"/>
  </r>
  <r>
    <d v="2021-10-05T00:00:00"/>
    <n v="5"/>
    <x v="0"/>
    <n v="2021"/>
    <n v="47"/>
    <x v="0"/>
    <x v="0"/>
    <x v="3"/>
    <x v="7"/>
    <x v="0"/>
    <s v="Road-150 Red, 62"/>
    <n v="1"/>
    <n v="713"/>
    <n v="1120"/>
    <n v="1120"/>
    <n v="713"/>
    <n v="407"/>
    <s v="red"/>
    <x v="1"/>
  </r>
  <r>
    <d v="2021-10-06T00:00:00"/>
    <n v="6"/>
    <x v="0"/>
    <n v="2021"/>
    <n v="30"/>
    <x v="1"/>
    <x v="0"/>
    <x v="0"/>
    <x v="0"/>
    <x v="1"/>
    <s v="Mountain-500 Black, 48"/>
    <n v="4"/>
    <n v="713"/>
    <n v="1120"/>
    <n v="4480"/>
    <n v="2852"/>
    <n v="1628"/>
    <s v="black"/>
    <x v="2"/>
  </r>
  <r>
    <d v="2021-10-06T00:00:00"/>
    <n v="6"/>
    <x v="0"/>
    <n v="2021"/>
    <n v="37"/>
    <x v="0"/>
    <x v="1"/>
    <x v="3"/>
    <x v="5"/>
    <x v="0"/>
    <s v="Road-350-W Yellow, 42"/>
    <n v="4"/>
    <n v="713"/>
    <n v="1120"/>
    <n v="4480"/>
    <n v="2852"/>
    <n v="1628"/>
    <s v="yellow"/>
    <x v="0"/>
  </r>
  <r>
    <d v="2021-10-06T00:00:00"/>
    <n v="6"/>
    <x v="0"/>
    <n v="2021"/>
    <n v="26"/>
    <x v="1"/>
    <x v="0"/>
    <x v="3"/>
    <x v="5"/>
    <x v="1"/>
    <s v="Mountain-200 Black, 46"/>
    <n v="3"/>
    <n v="713"/>
    <n v="1120"/>
    <n v="3360"/>
    <n v="2139"/>
    <n v="1221"/>
    <s v="black"/>
    <x v="2"/>
  </r>
  <r>
    <d v="2021-10-06T00:00:00"/>
    <n v="6"/>
    <x v="0"/>
    <n v="2021"/>
    <n v="32"/>
    <x v="1"/>
    <x v="0"/>
    <x v="0"/>
    <x v="8"/>
    <x v="1"/>
    <s v="Mountain-200 Black, 38"/>
    <n v="3"/>
    <n v="713"/>
    <n v="1120"/>
    <n v="3360"/>
    <n v="2139"/>
    <n v="1221"/>
    <s v="black"/>
    <x v="2"/>
  </r>
  <r>
    <d v="2021-10-06T00:00:00"/>
    <n v="6"/>
    <x v="0"/>
    <n v="2021"/>
    <n v="24"/>
    <x v="2"/>
    <x v="0"/>
    <x v="3"/>
    <x v="7"/>
    <x v="0"/>
    <s v="Road-550-W Yellow, 40"/>
    <n v="2"/>
    <n v="713"/>
    <n v="1120"/>
    <n v="2240"/>
    <n v="1426"/>
    <n v="814"/>
    <s v="yellow"/>
    <x v="0"/>
  </r>
  <r>
    <d v="2021-10-06T00:00:00"/>
    <n v="6"/>
    <x v="0"/>
    <n v="2021"/>
    <n v="26"/>
    <x v="1"/>
    <x v="1"/>
    <x v="3"/>
    <x v="7"/>
    <x v="0"/>
    <s v="Road-750 Black, 52"/>
    <n v="1"/>
    <n v="713"/>
    <n v="1120"/>
    <n v="1120"/>
    <n v="713"/>
    <n v="407"/>
    <s v="black"/>
    <x v="4"/>
  </r>
  <r>
    <d v="2021-10-06T00:00:00"/>
    <n v="6"/>
    <x v="0"/>
    <n v="2021"/>
    <n v="29"/>
    <x v="1"/>
    <x v="0"/>
    <x v="5"/>
    <x v="9"/>
    <x v="1"/>
    <s v="Mountain-200 Silver, 46"/>
    <n v="1"/>
    <n v="713"/>
    <n v="1120"/>
    <n v="1120"/>
    <n v="713"/>
    <n v="407"/>
    <s v="silver"/>
    <x v="3"/>
  </r>
  <r>
    <d v="2021-10-07T00:00:00"/>
    <n v="7"/>
    <x v="0"/>
    <n v="2021"/>
    <n v="43"/>
    <x v="0"/>
    <x v="1"/>
    <x v="3"/>
    <x v="5"/>
    <x v="0"/>
    <s v="Road-150 Red, 52"/>
    <n v="4"/>
    <n v="713"/>
    <n v="1120"/>
    <n v="4480"/>
    <n v="2852"/>
    <n v="1628"/>
    <s v="red"/>
    <x v="1"/>
  </r>
  <r>
    <d v="2021-10-07T00:00:00"/>
    <n v="7"/>
    <x v="0"/>
    <n v="2021"/>
    <n v="32"/>
    <x v="1"/>
    <x v="0"/>
    <x v="3"/>
    <x v="3"/>
    <x v="1"/>
    <s v="Mountain-200 Silver, 42"/>
    <n v="3"/>
    <n v="713"/>
    <n v="1120"/>
    <n v="3360"/>
    <n v="2139"/>
    <n v="1221"/>
    <s v="silver"/>
    <x v="3"/>
  </r>
  <r>
    <d v="2021-10-07T00:00:00"/>
    <n v="7"/>
    <x v="0"/>
    <n v="2021"/>
    <n v="36"/>
    <x v="0"/>
    <x v="0"/>
    <x v="3"/>
    <x v="3"/>
    <x v="0"/>
    <s v="Road-350-W Yellow, 44"/>
    <n v="3"/>
    <n v="713"/>
    <n v="1120"/>
    <n v="3360"/>
    <n v="2139"/>
    <n v="1221"/>
    <s v="yellow"/>
    <x v="0"/>
  </r>
  <r>
    <d v="2021-10-07T00:00:00"/>
    <n v="7"/>
    <x v="0"/>
    <n v="2021"/>
    <n v="46"/>
    <x v="0"/>
    <x v="0"/>
    <x v="0"/>
    <x v="0"/>
    <x v="0"/>
    <s v="Road-350-W Yellow, 48"/>
    <n v="2"/>
    <n v="713"/>
    <n v="1120"/>
    <n v="2240"/>
    <n v="1426"/>
    <n v="814"/>
    <s v="yellow"/>
    <x v="0"/>
  </r>
  <r>
    <d v="2021-10-07T00:00:00"/>
    <n v="7"/>
    <x v="0"/>
    <n v="2021"/>
    <n v="37"/>
    <x v="0"/>
    <x v="0"/>
    <x v="3"/>
    <x v="5"/>
    <x v="0"/>
    <s v="Road-550-W Yellow, 38"/>
    <n v="1"/>
    <n v="713"/>
    <n v="1120"/>
    <n v="1120"/>
    <n v="713"/>
    <n v="407"/>
    <s v="yellow"/>
    <x v="0"/>
  </r>
  <r>
    <d v="2021-10-07T00:00:00"/>
    <n v="7"/>
    <x v="0"/>
    <n v="2021"/>
    <n v="41"/>
    <x v="0"/>
    <x v="1"/>
    <x v="3"/>
    <x v="3"/>
    <x v="0"/>
    <s v="Road-250 Black, 48"/>
    <n v="1"/>
    <n v="713"/>
    <n v="1120"/>
    <n v="1120"/>
    <n v="713"/>
    <n v="407"/>
    <s v="black"/>
    <x v="4"/>
  </r>
  <r>
    <d v="2021-10-07T00:00:00"/>
    <n v="7"/>
    <x v="0"/>
    <n v="2021"/>
    <n v="46"/>
    <x v="0"/>
    <x v="1"/>
    <x v="0"/>
    <x v="0"/>
    <x v="0"/>
    <s v="Road-150 Red, 52"/>
    <n v="1"/>
    <n v="713"/>
    <n v="1120"/>
    <n v="1120"/>
    <n v="713"/>
    <n v="407"/>
    <s v="red"/>
    <x v="1"/>
  </r>
  <r>
    <d v="2021-10-08T00:00:00"/>
    <n v="8"/>
    <x v="0"/>
    <n v="2021"/>
    <n v="35"/>
    <x v="0"/>
    <x v="0"/>
    <x v="1"/>
    <x v="1"/>
    <x v="0"/>
    <s v="Road-750 Black, 52"/>
    <n v="4"/>
    <n v="713"/>
    <n v="1120"/>
    <n v="4480"/>
    <n v="2852"/>
    <n v="1628"/>
    <s v="black"/>
    <x v="4"/>
  </r>
  <r>
    <d v="2021-10-08T00:00:00"/>
    <n v="8"/>
    <x v="0"/>
    <n v="2021"/>
    <n v="41"/>
    <x v="0"/>
    <x v="0"/>
    <x v="3"/>
    <x v="5"/>
    <x v="1"/>
    <s v="Mountain-400-W Silver, 38"/>
    <n v="4"/>
    <n v="713"/>
    <n v="1120"/>
    <n v="4480"/>
    <n v="2852"/>
    <n v="1628"/>
    <s v="silver"/>
    <x v="3"/>
  </r>
  <r>
    <d v="2021-10-08T00:00:00"/>
    <n v="8"/>
    <x v="0"/>
    <n v="2021"/>
    <n v="55"/>
    <x v="0"/>
    <x v="1"/>
    <x v="3"/>
    <x v="7"/>
    <x v="0"/>
    <s v="Road-350-W Yellow, 48"/>
    <n v="4"/>
    <n v="713"/>
    <n v="1120"/>
    <n v="4480"/>
    <n v="2852"/>
    <n v="1628"/>
    <s v="yellow"/>
    <x v="0"/>
  </r>
  <r>
    <d v="2021-10-08T00:00:00"/>
    <n v="8"/>
    <x v="0"/>
    <n v="2021"/>
    <n v="31"/>
    <x v="1"/>
    <x v="0"/>
    <x v="4"/>
    <x v="12"/>
    <x v="0"/>
    <s v="Road-250 Black, 44"/>
    <n v="3"/>
    <n v="713"/>
    <n v="1120"/>
    <n v="3360"/>
    <n v="2139"/>
    <n v="1221"/>
    <s v="black"/>
    <x v="4"/>
  </r>
  <r>
    <d v="2021-10-08T00:00:00"/>
    <n v="8"/>
    <x v="0"/>
    <n v="2021"/>
    <n v="41"/>
    <x v="0"/>
    <x v="1"/>
    <x v="3"/>
    <x v="4"/>
    <x v="0"/>
    <s v="Road-250 Black, 48"/>
    <n v="3"/>
    <n v="713"/>
    <n v="1120"/>
    <n v="3360"/>
    <n v="2139"/>
    <n v="1221"/>
    <s v="black"/>
    <x v="4"/>
  </r>
  <r>
    <d v="2021-10-08T00:00:00"/>
    <n v="8"/>
    <x v="0"/>
    <n v="2021"/>
    <n v="21"/>
    <x v="2"/>
    <x v="1"/>
    <x v="0"/>
    <x v="0"/>
    <x v="0"/>
    <s v="Road-250 Black, 48"/>
    <n v="1"/>
    <n v="713"/>
    <n v="1120"/>
    <n v="1120"/>
    <n v="713"/>
    <n v="407"/>
    <s v="black"/>
    <x v="4"/>
  </r>
  <r>
    <d v="2021-10-08T00:00:00"/>
    <n v="8"/>
    <x v="0"/>
    <n v="2021"/>
    <n v="28"/>
    <x v="1"/>
    <x v="0"/>
    <x v="2"/>
    <x v="2"/>
    <x v="1"/>
    <s v="Mountain-200 Black, 46"/>
    <n v="1"/>
    <n v="713"/>
    <n v="1120"/>
    <n v="1120"/>
    <n v="713"/>
    <n v="407"/>
    <s v="black"/>
    <x v="2"/>
  </r>
  <r>
    <d v="2021-10-09T00:00:00"/>
    <n v="9"/>
    <x v="0"/>
    <n v="2021"/>
    <n v="27"/>
    <x v="1"/>
    <x v="1"/>
    <x v="5"/>
    <x v="13"/>
    <x v="0"/>
    <s v="Road-750 Black, 52"/>
    <n v="3"/>
    <n v="713"/>
    <n v="1120"/>
    <n v="3360"/>
    <n v="2139"/>
    <n v="1221"/>
    <s v="black"/>
    <x v="4"/>
  </r>
  <r>
    <d v="2021-10-09T00:00:00"/>
    <n v="9"/>
    <x v="0"/>
    <n v="2021"/>
    <n v="43"/>
    <x v="0"/>
    <x v="1"/>
    <x v="2"/>
    <x v="2"/>
    <x v="0"/>
    <s v="Road-550-W Yellow, 48"/>
    <n v="2"/>
    <n v="713"/>
    <n v="1120"/>
    <n v="2240"/>
    <n v="1426"/>
    <n v="814"/>
    <s v="yellow"/>
    <x v="0"/>
  </r>
  <r>
    <d v="2021-10-09T00:00:00"/>
    <n v="9"/>
    <x v="0"/>
    <n v="2021"/>
    <n v="46"/>
    <x v="0"/>
    <x v="1"/>
    <x v="5"/>
    <x v="14"/>
    <x v="1"/>
    <s v="Mountain-200 Silver, 46"/>
    <n v="2"/>
    <n v="713"/>
    <n v="1120"/>
    <n v="2240"/>
    <n v="1426"/>
    <n v="814"/>
    <s v="silver"/>
    <x v="3"/>
  </r>
  <r>
    <d v="2021-10-10T00:00:00"/>
    <n v="10"/>
    <x v="0"/>
    <n v="2021"/>
    <n v="38"/>
    <x v="0"/>
    <x v="1"/>
    <x v="2"/>
    <x v="2"/>
    <x v="0"/>
    <s v="Road-250 Black, 52"/>
    <n v="3"/>
    <n v="713"/>
    <n v="1120"/>
    <n v="3360"/>
    <n v="2139"/>
    <n v="1221"/>
    <s v="black"/>
    <x v="4"/>
  </r>
  <r>
    <d v="2021-10-10T00:00:00"/>
    <n v="10"/>
    <x v="0"/>
    <n v="2021"/>
    <n v="36"/>
    <x v="0"/>
    <x v="0"/>
    <x v="0"/>
    <x v="0"/>
    <x v="0"/>
    <s v="Road-650 Red, 62"/>
    <n v="1"/>
    <n v="713"/>
    <n v="1120"/>
    <n v="1120"/>
    <n v="713"/>
    <n v="407"/>
    <s v="red"/>
    <x v="1"/>
  </r>
  <r>
    <d v="2021-10-10T00:00:00"/>
    <n v="10"/>
    <x v="0"/>
    <n v="2021"/>
    <n v="45"/>
    <x v="0"/>
    <x v="0"/>
    <x v="3"/>
    <x v="5"/>
    <x v="0"/>
    <s v="Road-550-W Yellow, 40"/>
    <n v="1"/>
    <n v="713"/>
    <n v="1120"/>
    <n v="1120"/>
    <n v="713"/>
    <n v="407"/>
    <s v="yellow"/>
    <x v="0"/>
  </r>
  <r>
    <d v="2021-10-10T00:00:00"/>
    <n v="10"/>
    <x v="0"/>
    <n v="2021"/>
    <n v="47"/>
    <x v="0"/>
    <x v="0"/>
    <x v="3"/>
    <x v="5"/>
    <x v="1"/>
    <s v="Mountain-500 Silver, 42"/>
    <n v="1"/>
    <n v="713"/>
    <n v="1120"/>
    <n v="1120"/>
    <n v="713"/>
    <n v="407"/>
    <s v="silver"/>
    <x v="3"/>
  </r>
  <r>
    <d v="2021-10-11T00:00:00"/>
    <n v="11"/>
    <x v="0"/>
    <n v="2021"/>
    <n v="37"/>
    <x v="0"/>
    <x v="0"/>
    <x v="3"/>
    <x v="4"/>
    <x v="0"/>
    <s v="Road-350-W Yellow, 40"/>
    <n v="4"/>
    <n v="713"/>
    <n v="1120"/>
    <n v="4480"/>
    <n v="2852"/>
    <n v="1628"/>
    <s v="yellow"/>
    <x v="0"/>
  </r>
  <r>
    <d v="2021-10-11T00:00:00"/>
    <n v="11"/>
    <x v="0"/>
    <n v="2021"/>
    <n v="44"/>
    <x v="0"/>
    <x v="0"/>
    <x v="1"/>
    <x v="1"/>
    <x v="1"/>
    <s v="Mountain-500 Black, 42"/>
    <n v="4"/>
    <n v="713"/>
    <n v="1120"/>
    <n v="4480"/>
    <n v="2852"/>
    <n v="1628"/>
    <s v="black"/>
    <x v="2"/>
  </r>
  <r>
    <d v="2021-10-11T00:00:00"/>
    <n v="11"/>
    <x v="0"/>
    <n v="2021"/>
    <n v="37"/>
    <x v="0"/>
    <x v="0"/>
    <x v="3"/>
    <x v="5"/>
    <x v="0"/>
    <s v="Road-550-W Yellow, 38"/>
    <n v="3"/>
    <n v="713"/>
    <n v="1120"/>
    <n v="3360"/>
    <n v="2139"/>
    <n v="1221"/>
    <s v="yellow"/>
    <x v="0"/>
  </r>
  <r>
    <d v="2021-10-11T00:00:00"/>
    <n v="11"/>
    <x v="0"/>
    <n v="2021"/>
    <n v="26"/>
    <x v="1"/>
    <x v="0"/>
    <x v="5"/>
    <x v="14"/>
    <x v="0"/>
    <s v="Road-750 Black, 58"/>
    <n v="1"/>
    <n v="713"/>
    <n v="1120"/>
    <n v="1120"/>
    <n v="713"/>
    <n v="407"/>
    <s v="black"/>
    <x v="4"/>
  </r>
  <r>
    <d v="2021-10-11T00:00:00"/>
    <n v="11"/>
    <x v="0"/>
    <n v="2021"/>
    <n v="26"/>
    <x v="1"/>
    <x v="1"/>
    <x v="4"/>
    <x v="15"/>
    <x v="0"/>
    <s v="Road-250 Red, 48"/>
    <n v="1"/>
    <n v="713"/>
    <n v="1120"/>
    <n v="1120"/>
    <n v="713"/>
    <n v="407"/>
    <s v="red"/>
    <x v="1"/>
  </r>
  <r>
    <d v="2021-10-11T00:00:00"/>
    <n v="11"/>
    <x v="0"/>
    <n v="2021"/>
    <n v="28"/>
    <x v="1"/>
    <x v="1"/>
    <x v="3"/>
    <x v="16"/>
    <x v="1"/>
    <s v="Mountain-200 Black, 42"/>
    <n v="1"/>
    <n v="713"/>
    <n v="1120"/>
    <n v="1120"/>
    <n v="713"/>
    <n v="407"/>
    <s v="black"/>
    <x v="2"/>
  </r>
  <r>
    <d v="2021-10-11T00:00:00"/>
    <n v="11"/>
    <x v="0"/>
    <n v="2021"/>
    <n v="35"/>
    <x v="0"/>
    <x v="1"/>
    <x v="3"/>
    <x v="16"/>
    <x v="0"/>
    <s v="Road-350-W Yellow, 48"/>
    <n v="1"/>
    <n v="713"/>
    <n v="1120"/>
    <n v="1120"/>
    <n v="713"/>
    <n v="407"/>
    <s v="yellow"/>
    <x v="0"/>
  </r>
  <r>
    <d v="2021-10-12T00:00:00"/>
    <n v="12"/>
    <x v="0"/>
    <n v="2021"/>
    <n v="37"/>
    <x v="0"/>
    <x v="1"/>
    <x v="3"/>
    <x v="7"/>
    <x v="0"/>
    <s v="Road-550-W Yellow, 48"/>
    <n v="4"/>
    <n v="713"/>
    <n v="1120"/>
    <n v="4480"/>
    <n v="2852"/>
    <n v="1628"/>
    <s v="yellow"/>
    <x v="0"/>
  </r>
  <r>
    <d v="2021-10-12T00:00:00"/>
    <n v="12"/>
    <x v="0"/>
    <n v="2021"/>
    <n v="41"/>
    <x v="0"/>
    <x v="1"/>
    <x v="3"/>
    <x v="5"/>
    <x v="0"/>
    <s v="Road-750 Black, 48"/>
    <n v="4"/>
    <n v="713"/>
    <n v="1120"/>
    <n v="4480"/>
    <n v="2852"/>
    <n v="1628"/>
    <s v="black"/>
    <x v="4"/>
  </r>
  <r>
    <d v="2021-10-12T00:00:00"/>
    <n v="12"/>
    <x v="0"/>
    <n v="2021"/>
    <n v="37"/>
    <x v="0"/>
    <x v="1"/>
    <x v="2"/>
    <x v="2"/>
    <x v="1"/>
    <s v="Mountain-500 Silver, 40"/>
    <n v="3"/>
    <n v="713"/>
    <n v="1120"/>
    <n v="3360"/>
    <n v="2139"/>
    <n v="1221"/>
    <s v="silver"/>
    <x v="3"/>
  </r>
  <r>
    <d v="2021-10-12T00:00:00"/>
    <n v="12"/>
    <x v="0"/>
    <n v="2021"/>
    <n v="27"/>
    <x v="1"/>
    <x v="1"/>
    <x v="2"/>
    <x v="2"/>
    <x v="0"/>
    <s v="Road-750 Black, 48"/>
    <n v="2"/>
    <n v="713"/>
    <n v="1120"/>
    <n v="2240"/>
    <n v="1426"/>
    <n v="814"/>
    <s v="black"/>
    <x v="4"/>
  </r>
  <r>
    <d v="2021-10-12T00:00:00"/>
    <n v="12"/>
    <x v="0"/>
    <n v="2021"/>
    <n v="41"/>
    <x v="0"/>
    <x v="1"/>
    <x v="4"/>
    <x v="15"/>
    <x v="0"/>
    <s v="Road-650 Black, 52"/>
    <n v="2"/>
    <n v="713"/>
    <n v="1120"/>
    <n v="2240"/>
    <n v="1426"/>
    <n v="814"/>
    <s v="black"/>
    <x v="4"/>
  </r>
  <r>
    <d v="2021-10-12T00:00:00"/>
    <n v="12"/>
    <x v="0"/>
    <n v="2021"/>
    <n v="26"/>
    <x v="1"/>
    <x v="0"/>
    <x v="3"/>
    <x v="5"/>
    <x v="0"/>
    <s v="Road-250 Red, 58"/>
    <n v="1"/>
    <n v="713"/>
    <n v="1120"/>
    <n v="1120"/>
    <n v="713"/>
    <n v="407"/>
    <s v="red"/>
    <x v="1"/>
  </r>
  <r>
    <d v="2021-10-12T00:00:00"/>
    <n v="12"/>
    <x v="0"/>
    <n v="2021"/>
    <n v="32"/>
    <x v="1"/>
    <x v="0"/>
    <x v="5"/>
    <x v="10"/>
    <x v="0"/>
    <s v="Road-150 Red, 44"/>
    <n v="1"/>
    <n v="713"/>
    <n v="1120"/>
    <n v="1120"/>
    <n v="713"/>
    <n v="407"/>
    <s v="red"/>
    <x v="1"/>
  </r>
  <r>
    <d v="2021-10-12T00:00:00"/>
    <n v="12"/>
    <x v="0"/>
    <n v="2021"/>
    <n v="39"/>
    <x v="0"/>
    <x v="0"/>
    <x v="3"/>
    <x v="3"/>
    <x v="0"/>
    <s v="Road-350-W Yellow, 48"/>
    <n v="1"/>
    <n v="713"/>
    <n v="1120"/>
    <n v="1120"/>
    <n v="713"/>
    <n v="407"/>
    <s v="yellow"/>
    <x v="0"/>
  </r>
  <r>
    <d v="2021-10-12T00:00:00"/>
    <n v="12"/>
    <x v="0"/>
    <n v="2021"/>
    <n v="44"/>
    <x v="0"/>
    <x v="0"/>
    <x v="3"/>
    <x v="5"/>
    <x v="0"/>
    <s v="Road-750 Black, 44"/>
    <n v="1"/>
    <n v="713"/>
    <n v="1120"/>
    <n v="1120"/>
    <n v="713"/>
    <n v="407"/>
    <s v="black"/>
    <x v="4"/>
  </r>
  <r>
    <d v="2021-10-12T00:00:00"/>
    <n v="12"/>
    <x v="0"/>
    <n v="2021"/>
    <n v="45"/>
    <x v="0"/>
    <x v="1"/>
    <x v="0"/>
    <x v="8"/>
    <x v="0"/>
    <s v="Road-150 Red, 56"/>
    <n v="1"/>
    <n v="713"/>
    <n v="1120"/>
    <n v="1120"/>
    <n v="713"/>
    <n v="407"/>
    <s v="red"/>
    <x v="1"/>
  </r>
  <r>
    <d v="2021-10-12T00:00:00"/>
    <n v="12"/>
    <x v="0"/>
    <n v="2021"/>
    <n v="53"/>
    <x v="0"/>
    <x v="0"/>
    <x v="2"/>
    <x v="2"/>
    <x v="0"/>
    <s v="Road-250 Black, 52"/>
    <n v="1"/>
    <n v="713"/>
    <n v="1120"/>
    <n v="1120"/>
    <n v="713"/>
    <n v="407"/>
    <s v="black"/>
    <x v="4"/>
  </r>
  <r>
    <d v="2021-10-12T00:00:00"/>
    <n v="12"/>
    <x v="0"/>
    <n v="2021"/>
    <n v="57"/>
    <x v="0"/>
    <x v="1"/>
    <x v="3"/>
    <x v="3"/>
    <x v="0"/>
    <s v="Road-550-W Yellow, 42"/>
    <n v="1"/>
    <n v="713"/>
    <n v="1120"/>
    <n v="1120"/>
    <n v="713"/>
    <n v="407"/>
    <s v="yellow"/>
    <x v="0"/>
  </r>
  <r>
    <d v="2021-10-13T00:00:00"/>
    <n v="13"/>
    <x v="0"/>
    <n v="2021"/>
    <n v="40"/>
    <x v="0"/>
    <x v="1"/>
    <x v="3"/>
    <x v="3"/>
    <x v="0"/>
    <s v="Road-250 Black, 48"/>
    <n v="4"/>
    <n v="713"/>
    <n v="1120"/>
    <n v="4480"/>
    <n v="2852"/>
    <n v="1628"/>
    <s v="black"/>
    <x v="4"/>
  </r>
  <r>
    <d v="2021-10-13T00:00:00"/>
    <n v="13"/>
    <x v="0"/>
    <n v="2021"/>
    <n v="50"/>
    <x v="0"/>
    <x v="1"/>
    <x v="3"/>
    <x v="5"/>
    <x v="1"/>
    <s v="Mountain-500 Black, 48"/>
    <n v="4"/>
    <n v="713"/>
    <n v="1120"/>
    <n v="4480"/>
    <n v="2852"/>
    <n v="1628"/>
    <s v="black"/>
    <x v="2"/>
  </r>
  <r>
    <d v="2021-10-13T00:00:00"/>
    <n v="13"/>
    <x v="0"/>
    <n v="2021"/>
    <n v="18"/>
    <x v="2"/>
    <x v="0"/>
    <x v="0"/>
    <x v="8"/>
    <x v="0"/>
    <s v="Road-150 Red, 56"/>
    <n v="3"/>
    <n v="713"/>
    <n v="1120"/>
    <n v="3360"/>
    <n v="2139"/>
    <n v="1221"/>
    <s v="red"/>
    <x v="1"/>
  </r>
  <r>
    <d v="2021-10-13T00:00:00"/>
    <n v="13"/>
    <x v="0"/>
    <n v="2021"/>
    <n v="40"/>
    <x v="0"/>
    <x v="0"/>
    <x v="3"/>
    <x v="5"/>
    <x v="0"/>
    <s v="Road-250 Black, 52"/>
    <n v="3"/>
    <n v="713"/>
    <n v="1120"/>
    <n v="3360"/>
    <n v="2139"/>
    <n v="1221"/>
    <s v="black"/>
    <x v="4"/>
  </r>
  <r>
    <d v="2021-10-13T00:00:00"/>
    <n v="13"/>
    <x v="0"/>
    <n v="2021"/>
    <n v="43"/>
    <x v="0"/>
    <x v="1"/>
    <x v="3"/>
    <x v="5"/>
    <x v="1"/>
    <s v="Mountain-200 Black, 42"/>
    <n v="3"/>
    <n v="713"/>
    <n v="1120"/>
    <n v="3360"/>
    <n v="2139"/>
    <n v="1221"/>
    <s v="black"/>
    <x v="2"/>
  </r>
  <r>
    <d v="2021-10-13T00:00:00"/>
    <n v="13"/>
    <x v="0"/>
    <n v="2021"/>
    <n v="32"/>
    <x v="1"/>
    <x v="1"/>
    <x v="0"/>
    <x v="17"/>
    <x v="0"/>
    <s v="Road-750 Black, 52"/>
    <n v="2"/>
    <n v="713"/>
    <n v="1120"/>
    <n v="2240"/>
    <n v="1426"/>
    <n v="814"/>
    <s v="black"/>
    <x v="4"/>
  </r>
  <r>
    <d v="2021-10-13T00:00:00"/>
    <n v="13"/>
    <x v="0"/>
    <n v="2021"/>
    <n v="29"/>
    <x v="1"/>
    <x v="1"/>
    <x v="3"/>
    <x v="4"/>
    <x v="0"/>
    <s v="Road-350-W Yellow, 40"/>
    <n v="1"/>
    <n v="713"/>
    <n v="1120"/>
    <n v="1120"/>
    <n v="713"/>
    <n v="407"/>
    <s v="yellow"/>
    <x v="0"/>
  </r>
  <r>
    <d v="2021-10-13T00:00:00"/>
    <n v="13"/>
    <x v="0"/>
    <n v="2021"/>
    <n v="30"/>
    <x v="1"/>
    <x v="1"/>
    <x v="4"/>
    <x v="12"/>
    <x v="0"/>
    <s v="Road-650 Red, 52"/>
    <n v="1"/>
    <n v="713"/>
    <n v="1120"/>
    <n v="1120"/>
    <n v="713"/>
    <n v="407"/>
    <s v="red"/>
    <x v="1"/>
  </r>
  <r>
    <d v="2021-10-13T00:00:00"/>
    <n v="13"/>
    <x v="0"/>
    <n v="2021"/>
    <n v="31"/>
    <x v="1"/>
    <x v="0"/>
    <x v="0"/>
    <x v="0"/>
    <x v="1"/>
    <s v="Mountain-200 Black, 38"/>
    <n v="1"/>
    <n v="713"/>
    <n v="1120"/>
    <n v="1120"/>
    <n v="713"/>
    <n v="407"/>
    <s v="black"/>
    <x v="2"/>
  </r>
  <r>
    <d v="2021-10-13T00:00:00"/>
    <n v="13"/>
    <x v="0"/>
    <n v="2021"/>
    <n v="38"/>
    <x v="0"/>
    <x v="1"/>
    <x v="2"/>
    <x v="2"/>
    <x v="1"/>
    <s v="Mountain-200 Silver, 42"/>
    <n v="1"/>
    <n v="713"/>
    <n v="1120"/>
    <n v="1120"/>
    <n v="713"/>
    <n v="407"/>
    <s v="silver"/>
    <x v="3"/>
  </r>
  <r>
    <d v="2021-10-13T00:00:00"/>
    <n v="13"/>
    <x v="0"/>
    <n v="2021"/>
    <n v="45"/>
    <x v="0"/>
    <x v="1"/>
    <x v="3"/>
    <x v="4"/>
    <x v="0"/>
    <s v="Road-750 Black, 44"/>
    <n v="1"/>
    <n v="713"/>
    <n v="1120"/>
    <n v="1120"/>
    <n v="713"/>
    <n v="407"/>
    <s v="black"/>
    <x v="4"/>
  </r>
  <r>
    <d v="2021-10-13T00:00:00"/>
    <n v="13"/>
    <x v="0"/>
    <n v="2021"/>
    <n v="47"/>
    <x v="0"/>
    <x v="1"/>
    <x v="3"/>
    <x v="5"/>
    <x v="1"/>
    <s v="Mountain-500 Silver, 52"/>
    <n v="1"/>
    <n v="713"/>
    <n v="1120"/>
    <n v="1120"/>
    <n v="713"/>
    <n v="407"/>
    <s v="silver"/>
    <x v="3"/>
  </r>
  <r>
    <d v="2021-10-13T00:00:00"/>
    <n v="13"/>
    <x v="0"/>
    <n v="2021"/>
    <n v="55"/>
    <x v="0"/>
    <x v="1"/>
    <x v="3"/>
    <x v="5"/>
    <x v="0"/>
    <s v="Road-750 Black, 44"/>
    <n v="1"/>
    <n v="713"/>
    <n v="1120"/>
    <n v="1120"/>
    <n v="713"/>
    <n v="407"/>
    <s v="black"/>
    <x v="4"/>
  </r>
  <r>
    <d v="2021-10-14T00:00:00"/>
    <n v="14"/>
    <x v="0"/>
    <n v="2021"/>
    <n v="37"/>
    <x v="0"/>
    <x v="0"/>
    <x v="3"/>
    <x v="5"/>
    <x v="0"/>
    <s v="Road-550-W Yellow, 38"/>
    <n v="4"/>
    <n v="713"/>
    <n v="1120"/>
    <n v="4480"/>
    <n v="2852"/>
    <n v="1628"/>
    <s v="yellow"/>
    <x v="0"/>
  </r>
  <r>
    <d v="2021-10-14T00:00:00"/>
    <n v="14"/>
    <x v="0"/>
    <n v="2021"/>
    <n v="48"/>
    <x v="0"/>
    <x v="0"/>
    <x v="3"/>
    <x v="5"/>
    <x v="0"/>
    <s v="Road-550-W Yellow, 38"/>
    <n v="3"/>
    <n v="713"/>
    <n v="1120"/>
    <n v="3360"/>
    <n v="2139"/>
    <n v="1221"/>
    <s v="yellow"/>
    <x v="0"/>
  </r>
  <r>
    <d v="2021-10-14T00:00:00"/>
    <n v="14"/>
    <x v="0"/>
    <n v="2021"/>
    <n v="45"/>
    <x v="0"/>
    <x v="0"/>
    <x v="3"/>
    <x v="7"/>
    <x v="0"/>
    <s v="Road-750 Black, 48"/>
    <n v="2"/>
    <n v="713"/>
    <n v="1120"/>
    <n v="2240"/>
    <n v="1426"/>
    <n v="814"/>
    <s v="black"/>
    <x v="4"/>
  </r>
  <r>
    <d v="2021-10-14T00:00:00"/>
    <n v="14"/>
    <x v="0"/>
    <n v="2021"/>
    <n v="28"/>
    <x v="1"/>
    <x v="1"/>
    <x v="3"/>
    <x v="3"/>
    <x v="1"/>
    <s v="Mountain-200 Silver, 42"/>
    <n v="1"/>
    <n v="713"/>
    <n v="1120"/>
    <n v="1120"/>
    <n v="713"/>
    <n v="407"/>
    <s v="silver"/>
    <x v="3"/>
  </r>
  <r>
    <d v="2021-10-14T00:00:00"/>
    <n v="14"/>
    <x v="0"/>
    <n v="2021"/>
    <n v="31"/>
    <x v="1"/>
    <x v="1"/>
    <x v="4"/>
    <x v="15"/>
    <x v="0"/>
    <s v="Road-250 Red, 52"/>
    <n v="1"/>
    <n v="713"/>
    <n v="1120"/>
    <n v="1120"/>
    <n v="713"/>
    <n v="407"/>
    <s v="red"/>
    <x v="1"/>
  </r>
  <r>
    <d v="2021-10-14T00:00:00"/>
    <n v="14"/>
    <x v="0"/>
    <n v="2021"/>
    <n v="42"/>
    <x v="0"/>
    <x v="0"/>
    <x v="4"/>
    <x v="18"/>
    <x v="0"/>
    <s v="Road-650 Red, 62"/>
    <n v="1"/>
    <n v="713"/>
    <n v="1120"/>
    <n v="1120"/>
    <n v="713"/>
    <n v="407"/>
    <s v="red"/>
    <x v="1"/>
  </r>
  <r>
    <d v="2021-10-15T00:00:00"/>
    <n v="15"/>
    <x v="0"/>
    <n v="2021"/>
    <n v="41"/>
    <x v="0"/>
    <x v="1"/>
    <x v="3"/>
    <x v="3"/>
    <x v="0"/>
    <s v="Road-250 Black, 48"/>
    <n v="4"/>
    <n v="713"/>
    <n v="1120"/>
    <n v="4480"/>
    <n v="2852"/>
    <n v="1628"/>
    <s v="black"/>
    <x v="4"/>
  </r>
  <r>
    <d v="2021-10-15T00:00:00"/>
    <n v="15"/>
    <x v="0"/>
    <n v="2021"/>
    <n v="57"/>
    <x v="0"/>
    <x v="1"/>
    <x v="3"/>
    <x v="5"/>
    <x v="0"/>
    <s v="Road-150 Red, 52"/>
    <n v="4"/>
    <n v="713"/>
    <n v="1120"/>
    <n v="4480"/>
    <n v="2852"/>
    <n v="1628"/>
    <s v="red"/>
    <x v="1"/>
  </r>
  <r>
    <d v="2021-10-15T00:00:00"/>
    <n v="15"/>
    <x v="0"/>
    <n v="2021"/>
    <n v="24"/>
    <x v="2"/>
    <x v="0"/>
    <x v="3"/>
    <x v="16"/>
    <x v="0"/>
    <s v="Road-550-W Yellow, 48"/>
    <n v="3"/>
    <n v="713"/>
    <n v="1120"/>
    <n v="3360"/>
    <n v="2139"/>
    <n v="1221"/>
    <s v="yellow"/>
    <x v="0"/>
  </r>
  <r>
    <d v="2021-10-15T00:00:00"/>
    <n v="15"/>
    <x v="0"/>
    <n v="2021"/>
    <n v="43"/>
    <x v="0"/>
    <x v="0"/>
    <x v="0"/>
    <x v="8"/>
    <x v="0"/>
    <s v="Road-150 Red, 62"/>
    <n v="3"/>
    <n v="713"/>
    <n v="1120"/>
    <n v="3360"/>
    <n v="2139"/>
    <n v="1221"/>
    <s v="red"/>
    <x v="1"/>
  </r>
  <r>
    <d v="2021-10-15T00:00:00"/>
    <n v="15"/>
    <x v="0"/>
    <n v="2021"/>
    <n v="27"/>
    <x v="1"/>
    <x v="0"/>
    <x v="2"/>
    <x v="2"/>
    <x v="1"/>
    <s v="Mountain-200 Silver, 38"/>
    <n v="1"/>
    <n v="713"/>
    <n v="1120"/>
    <n v="1120"/>
    <n v="713"/>
    <n v="407"/>
    <s v="silver"/>
    <x v="3"/>
  </r>
  <r>
    <d v="2021-10-15T00:00:00"/>
    <n v="15"/>
    <x v="0"/>
    <n v="2021"/>
    <n v="29"/>
    <x v="1"/>
    <x v="0"/>
    <x v="2"/>
    <x v="2"/>
    <x v="0"/>
    <s v="Road-550-W Yellow, 38"/>
    <n v="1"/>
    <n v="713"/>
    <n v="1120"/>
    <n v="1120"/>
    <n v="713"/>
    <n v="407"/>
    <s v="yellow"/>
    <x v="0"/>
  </r>
  <r>
    <d v="2021-10-16T00:00:00"/>
    <n v="16"/>
    <x v="0"/>
    <n v="2021"/>
    <n v="46"/>
    <x v="0"/>
    <x v="0"/>
    <x v="5"/>
    <x v="19"/>
    <x v="1"/>
    <s v="Mountain-200 Black, 46"/>
    <n v="4"/>
    <n v="713"/>
    <n v="1120"/>
    <n v="4480"/>
    <n v="2852"/>
    <n v="1628"/>
    <s v="black"/>
    <x v="2"/>
  </r>
  <r>
    <d v="2021-10-16T00:00:00"/>
    <n v="16"/>
    <x v="0"/>
    <n v="2021"/>
    <n v="47"/>
    <x v="0"/>
    <x v="1"/>
    <x v="0"/>
    <x v="0"/>
    <x v="0"/>
    <s v="Road-650 Red, 60"/>
    <n v="4"/>
    <n v="713"/>
    <n v="1120"/>
    <n v="4480"/>
    <n v="2852"/>
    <n v="1628"/>
    <s v="red"/>
    <x v="1"/>
  </r>
  <r>
    <d v="2021-10-16T00:00:00"/>
    <n v="16"/>
    <x v="0"/>
    <n v="2021"/>
    <n v="36"/>
    <x v="0"/>
    <x v="0"/>
    <x v="3"/>
    <x v="3"/>
    <x v="0"/>
    <s v="Road-350-W Yellow, 44"/>
    <n v="3"/>
    <n v="713"/>
    <n v="1120"/>
    <n v="3360"/>
    <n v="2139"/>
    <n v="1221"/>
    <s v="yellow"/>
    <x v="0"/>
  </r>
  <r>
    <d v="2021-10-16T00:00:00"/>
    <n v="16"/>
    <x v="0"/>
    <n v="2021"/>
    <n v="42"/>
    <x v="0"/>
    <x v="0"/>
    <x v="0"/>
    <x v="8"/>
    <x v="0"/>
    <s v="Road-750 Black, 48"/>
    <n v="2"/>
    <n v="713"/>
    <n v="1120"/>
    <n v="2240"/>
    <n v="1426"/>
    <n v="814"/>
    <s v="black"/>
    <x v="4"/>
  </r>
  <r>
    <d v="2021-10-16T00:00:00"/>
    <n v="16"/>
    <x v="0"/>
    <n v="2021"/>
    <n v="47"/>
    <x v="0"/>
    <x v="0"/>
    <x v="0"/>
    <x v="20"/>
    <x v="0"/>
    <s v="Road-650 Red, 62"/>
    <n v="2"/>
    <n v="713"/>
    <n v="1120"/>
    <n v="2240"/>
    <n v="1426"/>
    <n v="814"/>
    <s v="red"/>
    <x v="1"/>
  </r>
  <r>
    <d v="2021-10-16T00:00:00"/>
    <n v="16"/>
    <x v="0"/>
    <n v="2021"/>
    <n v="28"/>
    <x v="1"/>
    <x v="0"/>
    <x v="2"/>
    <x v="2"/>
    <x v="1"/>
    <s v="Mountain-200 Black, 46"/>
    <n v="1"/>
    <n v="713"/>
    <n v="1120"/>
    <n v="1120"/>
    <n v="713"/>
    <n v="407"/>
    <s v="black"/>
    <x v="2"/>
  </r>
  <r>
    <d v="2021-10-16T00:00:00"/>
    <n v="16"/>
    <x v="0"/>
    <n v="2021"/>
    <n v="38"/>
    <x v="0"/>
    <x v="0"/>
    <x v="2"/>
    <x v="2"/>
    <x v="0"/>
    <s v="Road-250 Red, 44"/>
    <n v="1"/>
    <n v="713"/>
    <n v="1120"/>
    <n v="1120"/>
    <n v="713"/>
    <n v="407"/>
    <s v="red"/>
    <x v="1"/>
  </r>
  <r>
    <d v="2021-10-16T00:00:00"/>
    <n v="16"/>
    <x v="0"/>
    <n v="2021"/>
    <n v="46"/>
    <x v="0"/>
    <x v="0"/>
    <x v="4"/>
    <x v="12"/>
    <x v="0"/>
    <s v="Road-650 Red, 62"/>
    <n v="1"/>
    <n v="713"/>
    <n v="1120"/>
    <n v="1120"/>
    <n v="713"/>
    <n v="407"/>
    <s v="red"/>
    <x v="1"/>
  </r>
  <r>
    <d v="2021-10-16T00:00:00"/>
    <n v="16"/>
    <x v="0"/>
    <n v="2021"/>
    <n v="50"/>
    <x v="0"/>
    <x v="1"/>
    <x v="0"/>
    <x v="0"/>
    <x v="1"/>
    <s v="Mountain-200 Black, 46"/>
    <n v="1"/>
    <n v="713"/>
    <n v="1120"/>
    <n v="1120"/>
    <n v="713"/>
    <n v="407"/>
    <s v="black"/>
    <x v="2"/>
  </r>
  <r>
    <d v="2021-10-17T00:00:00"/>
    <n v="17"/>
    <x v="0"/>
    <n v="2021"/>
    <n v="30"/>
    <x v="1"/>
    <x v="1"/>
    <x v="5"/>
    <x v="21"/>
    <x v="0"/>
    <s v="Road-250 Black, 48"/>
    <n v="4"/>
    <n v="713"/>
    <n v="1120"/>
    <n v="4480"/>
    <n v="2852"/>
    <n v="1628"/>
    <s v="black"/>
    <x v="4"/>
  </r>
  <r>
    <d v="2021-10-17T00:00:00"/>
    <n v="17"/>
    <x v="0"/>
    <n v="2021"/>
    <n v="45"/>
    <x v="0"/>
    <x v="0"/>
    <x v="0"/>
    <x v="8"/>
    <x v="0"/>
    <s v="Road-250 Black, 52"/>
    <n v="3"/>
    <n v="713"/>
    <n v="1120"/>
    <n v="3360"/>
    <n v="2139"/>
    <n v="1221"/>
    <s v="black"/>
    <x v="4"/>
  </r>
  <r>
    <d v="2021-10-17T00:00:00"/>
    <n v="17"/>
    <x v="0"/>
    <n v="2021"/>
    <n v="33"/>
    <x v="1"/>
    <x v="1"/>
    <x v="4"/>
    <x v="15"/>
    <x v="0"/>
    <s v="Road-150 Red, 62"/>
    <n v="2"/>
    <n v="713"/>
    <n v="1120"/>
    <n v="2240"/>
    <n v="1426"/>
    <n v="814"/>
    <s v="red"/>
    <x v="1"/>
  </r>
  <r>
    <d v="2021-10-17T00:00:00"/>
    <n v="17"/>
    <x v="0"/>
    <n v="2021"/>
    <n v="26"/>
    <x v="1"/>
    <x v="0"/>
    <x v="4"/>
    <x v="18"/>
    <x v="0"/>
    <s v="Road-250 Red, 58"/>
    <n v="1"/>
    <n v="713"/>
    <n v="1120"/>
    <n v="1120"/>
    <n v="713"/>
    <n v="407"/>
    <s v="red"/>
    <x v="1"/>
  </r>
  <r>
    <d v="2021-10-17T00:00:00"/>
    <n v="17"/>
    <x v="0"/>
    <n v="2021"/>
    <n v="27"/>
    <x v="1"/>
    <x v="1"/>
    <x v="0"/>
    <x v="0"/>
    <x v="1"/>
    <s v="Mountain-200 Silver, 38"/>
    <n v="1"/>
    <n v="713"/>
    <n v="1120"/>
    <n v="1120"/>
    <n v="713"/>
    <n v="407"/>
    <s v="silver"/>
    <x v="3"/>
  </r>
  <r>
    <d v="2021-10-17T00:00:00"/>
    <n v="17"/>
    <x v="0"/>
    <n v="2021"/>
    <n v="46"/>
    <x v="0"/>
    <x v="0"/>
    <x v="0"/>
    <x v="0"/>
    <x v="0"/>
    <s v="Road-350-W Yellow, 48"/>
    <n v="1"/>
    <n v="713"/>
    <n v="1120"/>
    <n v="1120"/>
    <n v="713"/>
    <n v="407"/>
    <s v="yellow"/>
    <x v="0"/>
  </r>
  <r>
    <d v="2021-10-18T00:00:00"/>
    <n v="18"/>
    <x v="0"/>
    <n v="2021"/>
    <n v="51"/>
    <x v="0"/>
    <x v="1"/>
    <x v="0"/>
    <x v="17"/>
    <x v="1"/>
    <s v="Mountain-200 Black, 38"/>
    <n v="4"/>
    <n v="713"/>
    <n v="1120"/>
    <n v="4480"/>
    <n v="2852"/>
    <n v="1628"/>
    <s v="black"/>
    <x v="2"/>
  </r>
  <r>
    <d v="2021-10-18T00:00:00"/>
    <n v="18"/>
    <x v="0"/>
    <n v="2021"/>
    <n v="27"/>
    <x v="1"/>
    <x v="1"/>
    <x v="3"/>
    <x v="5"/>
    <x v="1"/>
    <s v="Mountain-200 Black, 38"/>
    <n v="1"/>
    <n v="713"/>
    <n v="1120"/>
    <n v="1120"/>
    <n v="713"/>
    <n v="407"/>
    <s v="black"/>
    <x v="2"/>
  </r>
  <r>
    <d v="2021-10-18T00:00:00"/>
    <n v="18"/>
    <x v="0"/>
    <n v="2021"/>
    <n v="28"/>
    <x v="1"/>
    <x v="0"/>
    <x v="3"/>
    <x v="7"/>
    <x v="1"/>
    <s v="Mountain-200 Black, 42"/>
    <n v="1"/>
    <n v="713"/>
    <n v="1120"/>
    <n v="1120"/>
    <n v="713"/>
    <n v="407"/>
    <s v="black"/>
    <x v="2"/>
  </r>
  <r>
    <d v="2021-10-18T00:00:00"/>
    <n v="18"/>
    <x v="0"/>
    <n v="2021"/>
    <n v="28"/>
    <x v="1"/>
    <x v="1"/>
    <x v="0"/>
    <x v="0"/>
    <x v="1"/>
    <s v="Mountain-200 Black, 38"/>
    <n v="1"/>
    <n v="713"/>
    <n v="1120"/>
    <n v="1120"/>
    <n v="713"/>
    <n v="407"/>
    <s v="black"/>
    <x v="2"/>
  </r>
  <r>
    <d v="2021-10-18T00:00:00"/>
    <n v="18"/>
    <x v="0"/>
    <n v="2021"/>
    <n v="30"/>
    <x v="1"/>
    <x v="0"/>
    <x v="0"/>
    <x v="8"/>
    <x v="1"/>
    <s v="Mountain-200 Silver, 38"/>
    <n v="1"/>
    <n v="713"/>
    <n v="1120"/>
    <n v="1120"/>
    <n v="713"/>
    <n v="407"/>
    <s v="silver"/>
    <x v="3"/>
  </r>
  <r>
    <d v="2021-10-18T00:00:00"/>
    <n v="18"/>
    <x v="0"/>
    <n v="2021"/>
    <n v="46"/>
    <x v="0"/>
    <x v="0"/>
    <x v="0"/>
    <x v="0"/>
    <x v="0"/>
    <s v="Road-350-W Yellow, 48"/>
    <n v="1"/>
    <n v="713"/>
    <n v="1120"/>
    <n v="1120"/>
    <n v="713"/>
    <n v="407"/>
    <s v="yellow"/>
    <x v="0"/>
  </r>
  <r>
    <d v="2021-10-18T00:00:00"/>
    <n v="18"/>
    <x v="0"/>
    <n v="2021"/>
    <n v="50"/>
    <x v="0"/>
    <x v="1"/>
    <x v="3"/>
    <x v="7"/>
    <x v="1"/>
    <s v="Mountain-500 Silver, 40"/>
    <n v="1"/>
    <n v="713"/>
    <n v="1120"/>
    <n v="1120"/>
    <n v="713"/>
    <n v="407"/>
    <s v="silver"/>
    <x v="3"/>
  </r>
  <r>
    <d v="2021-10-19T00:00:00"/>
    <n v="19"/>
    <x v="0"/>
    <n v="2021"/>
    <n v="46"/>
    <x v="0"/>
    <x v="1"/>
    <x v="2"/>
    <x v="2"/>
    <x v="0"/>
    <s v="Road-750 Black, 58"/>
    <n v="4"/>
    <n v="713"/>
    <n v="1120"/>
    <n v="4480"/>
    <n v="2852"/>
    <n v="1628"/>
    <s v="black"/>
    <x v="4"/>
  </r>
  <r>
    <d v="2021-10-19T00:00:00"/>
    <n v="19"/>
    <x v="0"/>
    <n v="2021"/>
    <n v="28"/>
    <x v="1"/>
    <x v="0"/>
    <x v="3"/>
    <x v="3"/>
    <x v="1"/>
    <s v="Mountain-200 Black, 38"/>
    <n v="3"/>
    <n v="713"/>
    <n v="1120"/>
    <n v="3360"/>
    <n v="2139"/>
    <n v="1221"/>
    <s v="black"/>
    <x v="2"/>
  </r>
  <r>
    <d v="2021-10-19T00:00:00"/>
    <n v="19"/>
    <x v="0"/>
    <n v="2021"/>
    <n v="29"/>
    <x v="1"/>
    <x v="1"/>
    <x v="3"/>
    <x v="5"/>
    <x v="1"/>
    <s v="Mountain-200 Black, 46"/>
    <n v="3"/>
    <n v="713"/>
    <n v="1120"/>
    <n v="3360"/>
    <n v="2139"/>
    <n v="1221"/>
    <s v="black"/>
    <x v="2"/>
  </r>
  <r>
    <d v="2021-10-19T00:00:00"/>
    <n v="19"/>
    <x v="0"/>
    <n v="2021"/>
    <n v="56"/>
    <x v="0"/>
    <x v="1"/>
    <x v="3"/>
    <x v="5"/>
    <x v="0"/>
    <s v="Road-550-W Yellow, 44"/>
    <n v="3"/>
    <n v="713"/>
    <n v="1120"/>
    <n v="3360"/>
    <n v="2139"/>
    <n v="1221"/>
    <s v="yellow"/>
    <x v="0"/>
  </r>
  <r>
    <d v="2021-10-19T00:00:00"/>
    <n v="19"/>
    <x v="0"/>
    <n v="2021"/>
    <n v="26"/>
    <x v="1"/>
    <x v="1"/>
    <x v="3"/>
    <x v="5"/>
    <x v="1"/>
    <s v="Mountain-400-W Silver, 46"/>
    <n v="2"/>
    <n v="713"/>
    <n v="1120"/>
    <n v="2240"/>
    <n v="1426"/>
    <n v="814"/>
    <s v="silver"/>
    <x v="3"/>
  </r>
  <r>
    <d v="2021-10-19T00:00:00"/>
    <n v="19"/>
    <x v="0"/>
    <n v="2021"/>
    <n v="41"/>
    <x v="0"/>
    <x v="0"/>
    <x v="1"/>
    <x v="1"/>
    <x v="1"/>
    <s v="Mountain-200 Black, 38"/>
    <n v="2"/>
    <n v="713"/>
    <n v="1120"/>
    <n v="2240"/>
    <n v="1426"/>
    <n v="814"/>
    <s v="black"/>
    <x v="2"/>
  </r>
  <r>
    <d v="2021-10-19T00:00:00"/>
    <n v="19"/>
    <x v="0"/>
    <n v="2021"/>
    <n v="45"/>
    <x v="0"/>
    <x v="1"/>
    <x v="0"/>
    <x v="8"/>
    <x v="0"/>
    <s v="Road-150 Red, 56"/>
    <n v="2"/>
    <n v="713"/>
    <n v="1120"/>
    <n v="2240"/>
    <n v="1426"/>
    <n v="814"/>
    <s v="red"/>
    <x v="1"/>
  </r>
  <r>
    <d v="2021-10-19T00:00:00"/>
    <n v="19"/>
    <x v="0"/>
    <n v="2021"/>
    <n v="29"/>
    <x v="1"/>
    <x v="1"/>
    <x v="5"/>
    <x v="9"/>
    <x v="1"/>
    <s v="Mountain-200 Black, 46"/>
    <n v="1"/>
    <n v="713"/>
    <n v="1120"/>
    <n v="1120"/>
    <n v="713"/>
    <n v="407"/>
    <s v="black"/>
    <x v="2"/>
  </r>
  <r>
    <d v="2021-10-19T00:00:00"/>
    <n v="19"/>
    <x v="0"/>
    <n v="2021"/>
    <n v="31"/>
    <x v="1"/>
    <x v="0"/>
    <x v="0"/>
    <x v="8"/>
    <x v="1"/>
    <s v="Mountain-200 Silver, 38"/>
    <n v="1"/>
    <n v="713"/>
    <n v="1120"/>
    <n v="1120"/>
    <n v="713"/>
    <n v="407"/>
    <s v="silver"/>
    <x v="3"/>
  </r>
  <r>
    <d v="2021-10-19T00:00:00"/>
    <n v="19"/>
    <x v="0"/>
    <n v="2021"/>
    <n v="31"/>
    <x v="1"/>
    <x v="1"/>
    <x v="3"/>
    <x v="7"/>
    <x v="0"/>
    <s v="Road-550-W Yellow, 44"/>
    <n v="1"/>
    <n v="713"/>
    <n v="1120"/>
    <n v="1120"/>
    <n v="713"/>
    <n v="407"/>
    <s v="yellow"/>
    <x v="0"/>
  </r>
  <r>
    <d v="2021-10-19T00:00:00"/>
    <n v="19"/>
    <x v="0"/>
    <n v="2021"/>
    <n v="41"/>
    <x v="0"/>
    <x v="1"/>
    <x v="3"/>
    <x v="7"/>
    <x v="0"/>
    <s v="Road-250 Red, 58"/>
    <n v="1"/>
    <n v="713"/>
    <n v="1120"/>
    <n v="1120"/>
    <n v="713"/>
    <n v="407"/>
    <s v="red"/>
    <x v="1"/>
  </r>
  <r>
    <d v="2021-10-19T00:00:00"/>
    <n v="19"/>
    <x v="0"/>
    <n v="2021"/>
    <n v="51"/>
    <x v="0"/>
    <x v="0"/>
    <x v="3"/>
    <x v="5"/>
    <x v="1"/>
    <s v="Mountain-200 Silver, 42"/>
    <n v="1"/>
    <n v="713"/>
    <n v="1120"/>
    <n v="1120"/>
    <n v="713"/>
    <n v="407"/>
    <s v="silver"/>
    <x v="3"/>
  </r>
  <r>
    <d v="2021-10-20T00:00:00"/>
    <n v="20"/>
    <x v="0"/>
    <n v="2021"/>
    <n v="26"/>
    <x v="1"/>
    <x v="0"/>
    <x v="3"/>
    <x v="3"/>
    <x v="1"/>
    <s v="Mountain-200 Silver, 38"/>
    <n v="3"/>
    <n v="713"/>
    <n v="1120"/>
    <n v="3360"/>
    <n v="2139"/>
    <n v="1221"/>
    <s v="silver"/>
    <x v="3"/>
  </r>
  <r>
    <d v="2021-10-20T00:00:00"/>
    <n v="20"/>
    <x v="0"/>
    <n v="2021"/>
    <n v="30"/>
    <x v="1"/>
    <x v="1"/>
    <x v="5"/>
    <x v="22"/>
    <x v="0"/>
    <s v="Road-150 Red, 48"/>
    <n v="3"/>
    <n v="713"/>
    <n v="1120"/>
    <n v="3360"/>
    <n v="2139"/>
    <n v="1221"/>
    <s v="red"/>
    <x v="1"/>
  </r>
  <r>
    <d v="2021-10-20T00:00:00"/>
    <n v="20"/>
    <x v="0"/>
    <n v="2021"/>
    <n v="39"/>
    <x v="0"/>
    <x v="1"/>
    <x v="2"/>
    <x v="2"/>
    <x v="0"/>
    <s v="Road-150 Red, 44"/>
    <n v="2"/>
    <n v="713"/>
    <n v="1120"/>
    <n v="2240"/>
    <n v="1426"/>
    <n v="814"/>
    <s v="red"/>
    <x v="1"/>
  </r>
  <r>
    <d v="2021-10-20T00:00:00"/>
    <n v="20"/>
    <x v="0"/>
    <n v="2021"/>
    <n v="26"/>
    <x v="1"/>
    <x v="0"/>
    <x v="5"/>
    <x v="23"/>
    <x v="0"/>
    <s v="Road-250 Red, 58"/>
    <n v="1"/>
    <n v="713"/>
    <n v="1120"/>
    <n v="1120"/>
    <n v="713"/>
    <n v="407"/>
    <s v="red"/>
    <x v="1"/>
  </r>
  <r>
    <d v="2021-10-20T00:00:00"/>
    <n v="20"/>
    <x v="0"/>
    <n v="2021"/>
    <n v="27"/>
    <x v="1"/>
    <x v="1"/>
    <x v="2"/>
    <x v="2"/>
    <x v="0"/>
    <s v="Road-750 Black, 48"/>
    <n v="1"/>
    <n v="713"/>
    <n v="1120"/>
    <n v="1120"/>
    <n v="713"/>
    <n v="407"/>
    <s v="black"/>
    <x v="4"/>
  </r>
  <r>
    <d v="2021-10-20T00:00:00"/>
    <n v="20"/>
    <x v="0"/>
    <n v="2021"/>
    <n v="29"/>
    <x v="1"/>
    <x v="0"/>
    <x v="2"/>
    <x v="2"/>
    <x v="0"/>
    <s v="Road-550-W Yellow, 38"/>
    <n v="1"/>
    <n v="713"/>
    <n v="1120"/>
    <n v="1120"/>
    <n v="713"/>
    <n v="407"/>
    <s v="yellow"/>
    <x v="0"/>
  </r>
  <r>
    <d v="2021-10-20T00:00:00"/>
    <n v="20"/>
    <x v="0"/>
    <n v="2021"/>
    <n v="29"/>
    <x v="1"/>
    <x v="1"/>
    <x v="1"/>
    <x v="1"/>
    <x v="0"/>
    <s v="Road-750 Black, 48"/>
    <n v="1"/>
    <n v="713"/>
    <n v="1120"/>
    <n v="1120"/>
    <n v="713"/>
    <n v="407"/>
    <s v="black"/>
    <x v="4"/>
  </r>
  <r>
    <d v="2021-10-20T00:00:00"/>
    <n v="20"/>
    <x v="0"/>
    <n v="2021"/>
    <n v="35"/>
    <x v="0"/>
    <x v="0"/>
    <x v="1"/>
    <x v="1"/>
    <x v="0"/>
    <s v="Road-750 Black, 52"/>
    <n v="1"/>
    <n v="713"/>
    <n v="1120"/>
    <n v="1120"/>
    <n v="713"/>
    <n v="407"/>
    <s v="black"/>
    <x v="4"/>
  </r>
  <r>
    <d v="2021-10-20T00:00:00"/>
    <n v="20"/>
    <x v="0"/>
    <n v="2021"/>
    <n v="61"/>
    <x v="0"/>
    <x v="1"/>
    <x v="0"/>
    <x v="8"/>
    <x v="0"/>
    <s v="Road-250 Black, 48"/>
    <n v="1"/>
    <n v="713"/>
    <n v="1120"/>
    <n v="1120"/>
    <n v="713"/>
    <n v="407"/>
    <s v="black"/>
    <x v="4"/>
  </r>
  <r>
    <d v="2021-10-21T00:00:00"/>
    <n v="21"/>
    <x v="0"/>
    <n v="2021"/>
    <n v="28"/>
    <x v="1"/>
    <x v="1"/>
    <x v="5"/>
    <x v="23"/>
    <x v="1"/>
    <s v="Mountain-400-W Silver, 46"/>
    <n v="4"/>
    <n v="713"/>
    <n v="1120"/>
    <n v="4480"/>
    <n v="2852"/>
    <n v="1628"/>
    <s v="silver"/>
    <x v="3"/>
  </r>
  <r>
    <d v="2021-10-21T00:00:00"/>
    <n v="21"/>
    <x v="0"/>
    <n v="2021"/>
    <n v="44"/>
    <x v="0"/>
    <x v="0"/>
    <x v="4"/>
    <x v="18"/>
    <x v="0"/>
    <s v="Road-650 Red, 60"/>
    <n v="3"/>
    <n v="713"/>
    <n v="1120"/>
    <n v="3360"/>
    <n v="2139"/>
    <n v="1221"/>
    <s v="red"/>
    <x v="1"/>
  </r>
  <r>
    <d v="2021-10-21T00:00:00"/>
    <n v="21"/>
    <x v="0"/>
    <n v="2021"/>
    <n v="57"/>
    <x v="0"/>
    <x v="0"/>
    <x v="3"/>
    <x v="7"/>
    <x v="0"/>
    <s v="Road-750 Black, 58"/>
    <n v="3"/>
    <n v="713"/>
    <n v="1120"/>
    <n v="3360"/>
    <n v="2139"/>
    <n v="1221"/>
    <s v="black"/>
    <x v="4"/>
  </r>
  <r>
    <d v="2021-10-21T00:00:00"/>
    <n v="21"/>
    <x v="0"/>
    <n v="2021"/>
    <n v="44"/>
    <x v="0"/>
    <x v="1"/>
    <x v="3"/>
    <x v="4"/>
    <x v="1"/>
    <s v="Mountain-200 Black, 42"/>
    <n v="2"/>
    <n v="713"/>
    <n v="1120"/>
    <n v="2240"/>
    <n v="1426"/>
    <n v="814"/>
    <s v="black"/>
    <x v="2"/>
  </r>
  <r>
    <d v="2021-10-21T00:00:00"/>
    <n v="21"/>
    <x v="0"/>
    <n v="2021"/>
    <n v="52"/>
    <x v="0"/>
    <x v="1"/>
    <x v="0"/>
    <x v="0"/>
    <x v="1"/>
    <s v="Mountain-200 Silver, 46"/>
    <n v="2"/>
    <n v="713"/>
    <n v="1120"/>
    <n v="2240"/>
    <n v="1426"/>
    <n v="814"/>
    <s v="silver"/>
    <x v="3"/>
  </r>
  <r>
    <d v="2021-10-21T00:00:00"/>
    <n v="21"/>
    <x v="0"/>
    <n v="2021"/>
    <n v="61"/>
    <x v="0"/>
    <x v="0"/>
    <x v="0"/>
    <x v="0"/>
    <x v="0"/>
    <s v="Road-150 Red, 52"/>
    <n v="2"/>
    <n v="713"/>
    <n v="1120"/>
    <n v="2240"/>
    <n v="1426"/>
    <n v="814"/>
    <s v="red"/>
    <x v="1"/>
  </r>
  <r>
    <d v="2021-10-21T00:00:00"/>
    <n v="21"/>
    <x v="0"/>
    <n v="2021"/>
    <n v="23"/>
    <x v="2"/>
    <x v="1"/>
    <x v="3"/>
    <x v="5"/>
    <x v="0"/>
    <s v="Road-250 Black, 58"/>
    <n v="1"/>
    <n v="713"/>
    <n v="1120"/>
    <n v="1120"/>
    <n v="713"/>
    <n v="407"/>
    <s v="black"/>
    <x v="4"/>
  </r>
  <r>
    <d v="2021-10-21T00:00:00"/>
    <n v="21"/>
    <x v="0"/>
    <n v="2021"/>
    <n v="32"/>
    <x v="1"/>
    <x v="0"/>
    <x v="3"/>
    <x v="5"/>
    <x v="1"/>
    <s v="Mountain-400-W Silver, 40"/>
    <n v="1"/>
    <n v="713"/>
    <n v="1120"/>
    <n v="1120"/>
    <n v="713"/>
    <n v="407"/>
    <s v="silver"/>
    <x v="3"/>
  </r>
  <r>
    <d v="2021-10-21T00:00:00"/>
    <n v="21"/>
    <x v="0"/>
    <n v="2021"/>
    <n v="32"/>
    <x v="1"/>
    <x v="0"/>
    <x v="3"/>
    <x v="7"/>
    <x v="1"/>
    <s v="Mountain-400-W Silver, 46"/>
    <n v="1"/>
    <n v="713"/>
    <n v="1120"/>
    <n v="1120"/>
    <n v="713"/>
    <n v="407"/>
    <s v="silver"/>
    <x v="3"/>
  </r>
  <r>
    <d v="2021-10-21T00:00:00"/>
    <n v="21"/>
    <x v="0"/>
    <n v="2021"/>
    <n v="38"/>
    <x v="0"/>
    <x v="0"/>
    <x v="2"/>
    <x v="2"/>
    <x v="0"/>
    <s v="Road-150 Red, 56"/>
    <n v="1"/>
    <n v="713"/>
    <n v="1120"/>
    <n v="1120"/>
    <n v="713"/>
    <n v="407"/>
    <s v="red"/>
    <x v="1"/>
  </r>
  <r>
    <d v="2021-10-22T00:00:00"/>
    <n v="22"/>
    <x v="0"/>
    <n v="2021"/>
    <n v="30"/>
    <x v="1"/>
    <x v="1"/>
    <x v="4"/>
    <x v="15"/>
    <x v="0"/>
    <s v="Road-750 Black, 48"/>
    <n v="4"/>
    <n v="713"/>
    <n v="1120"/>
    <n v="4480"/>
    <n v="2852"/>
    <n v="1628"/>
    <s v="black"/>
    <x v="4"/>
  </r>
  <r>
    <d v="2021-10-22T00:00:00"/>
    <n v="22"/>
    <x v="0"/>
    <n v="2021"/>
    <n v="32"/>
    <x v="1"/>
    <x v="1"/>
    <x v="4"/>
    <x v="6"/>
    <x v="0"/>
    <s v="Road-250 Black, 58"/>
    <n v="3"/>
    <n v="713"/>
    <n v="1120"/>
    <n v="3360"/>
    <n v="2139"/>
    <n v="1221"/>
    <s v="black"/>
    <x v="4"/>
  </r>
  <r>
    <d v="2021-10-22T00:00:00"/>
    <n v="22"/>
    <x v="0"/>
    <n v="2021"/>
    <n v="35"/>
    <x v="0"/>
    <x v="1"/>
    <x v="1"/>
    <x v="1"/>
    <x v="0"/>
    <s v="Road-750 Black, 52"/>
    <n v="2"/>
    <n v="713"/>
    <n v="1120"/>
    <n v="2240"/>
    <n v="1426"/>
    <n v="814"/>
    <s v="black"/>
    <x v="4"/>
  </r>
  <r>
    <d v="2021-10-22T00:00:00"/>
    <n v="22"/>
    <x v="0"/>
    <n v="2021"/>
    <n v="25"/>
    <x v="1"/>
    <x v="0"/>
    <x v="1"/>
    <x v="1"/>
    <x v="0"/>
    <s v="Road-250 Red, 52"/>
    <n v="1"/>
    <n v="713"/>
    <n v="1120"/>
    <n v="1120"/>
    <n v="713"/>
    <n v="407"/>
    <s v="red"/>
    <x v="1"/>
  </r>
  <r>
    <d v="2021-10-22T00:00:00"/>
    <n v="22"/>
    <x v="0"/>
    <n v="2021"/>
    <n v="32"/>
    <x v="1"/>
    <x v="0"/>
    <x v="0"/>
    <x v="0"/>
    <x v="1"/>
    <s v="Mountain-200 Silver, 46"/>
    <n v="1"/>
    <n v="713"/>
    <n v="1120"/>
    <n v="1120"/>
    <n v="713"/>
    <n v="407"/>
    <s v="silver"/>
    <x v="3"/>
  </r>
  <r>
    <d v="2021-10-22T00:00:00"/>
    <n v="22"/>
    <x v="0"/>
    <n v="2021"/>
    <n v="37"/>
    <x v="0"/>
    <x v="1"/>
    <x v="2"/>
    <x v="2"/>
    <x v="0"/>
    <s v="Road-350-W Yellow, 40"/>
    <n v="1"/>
    <n v="713"/>
    <n v="1120"/>
    <n v="1120"/>
    <n v="713"/>
    <n v="407"/>
    <s v="yellow"/>
    <x v="0"/>
  </r>
  <r>
    <d v="2021-10-22T00:00:00"/>
    <n v="22"/>
    <x v="0"/>
    <n v="2021"/>
    <n v="45"/>
    <x v="0"/>
    <x v="0"/>
    <x v="0"/>
    <x v="0"/>
    <x v="0"/>
    <s v="Road-750 Black, 52"/>
    <n v="1"/>
    <n v="713"/>
    <n v="1120"/>
    <n v="1120"/>
    <n v="713"/>
    <n v="407"/>
    <s v="black"/>
    <x v="4"/>
  </r>
  <r>
    <d v="2021-10-23T00:00:00"/>
    <n v="23"/>
    <x v="0"/>
    <n v="2021"/>
    <n v="27"/>
    <x v="1"/>
    <x v="0"/>
    <x v="3"/>
    <x v="4"/>
    <x v="1"/>
    <s v="Mountain-200 Black, 46"/>
    <n v="1"/>
    <n v="713"/>
    <n v="1120"/>
    <n v="1120"/>
    <n v="713"/>
    <n v="407"/>
    <s v="black"/>
    <x v="2"/>
  </r>
  <r>
    <d v="2021-10-23T00:00:00"/>
    <n v="23"/>
    <x v="0"/>
    <n v="2021"/>
    <n v="29"/>
    <x v="1"/>
    <x v="1"/>
    <x v="2"/>
    <x v="2"/>
    <x v="0"/>
    <s v="Road-350-W Yellow, 48"/>
    <n v="1"/>
    <n v="713"/>
    <n v="1120"/>
    <n v="1120"/>
    <n v="713"/>
    <n v="407"/>
    <s v="yellow"/>
    <x v="0"/>
  </r>
  <r>
    <d v="2021-10-23T00:00:00"/>
    <n v="23"/>
    <x v="0"/>
    <n v="2021"/>
    <n v="36"/>
    <x v="0"/>
    <x v="1"/>
    <x v="5"/>
    <x v="9"/>
    <x v="0"/>
    <s v="Road-350-W Yellow, 44"/>
    <n v="1"/>
    <n v="713"/>
    <n v="1120"/>
    <n v="1120"/>
    <n v="713"/>
    <n v="407"/>
    <s v="yellow"/>
    <x v="0"/>
  </r>
  <r>
    <d v="2021-10-23T00:00:00"/>
    <n v="23"/>
    <x v="0"/>
    <n v="2021"/>
    <n v="42"/>
    <x v="0"/>
    <x v="1"/>
    <x v="3"/>
    <x v="7"/>
    <x v="1"/>
    <s v="Mountain-200 Silver, 46"/>
    <n v="1"/>
    <n v="713"/>
    <n v="1120"/>
    <n v="1120"/>
    <n v="713"/>
    <n v="407"/>
    <s v="silver"/>
    <x v="3"/>
  </r>
  <r>
    <d v="2021-10-23T00:00:00"/>
    <n v="23"/>
    <x v="0"/>
    <n v="2021"/>
    <n v="42"/>
    <x v="0"/>
    <x v="1"/>
    <x v="3"/>
    <x v="4"/>
    <x v="1"/>
    <s v="Mountain-200 Black, 38"/>
    <n v="1"/>
    <n v="713"/>
    <n v="1120"/>
    <n v="1120"/>
    <n v="713"/>
    <n v="407"/>
    <s v="black"/>
    <x v="2"/>
  </r>
  <r>
    <d v="2021-10-23T00:00:00"/>
    <n v="23"/>
    <x v="0"/>
    <n v="2021"/>
    <n v="43"/>
    <x v="0"/>
    <x v="1"/>
    <x v="5"/>
    <x v="21"/>
    <x v="0"/>
    <s v="Road-250 Black, 52"/>
    <n v="1"/>
    <n v="713"/>
    <n v="1120"/>
    <n v="1120"/>
    <n v="713"/>
    <n v="407"/>
    <s v="black"/>
    <x v="4"/>
  </r>
  <r>
    <d v="2021-10-23T00:00:00"/>
    <n v="23"/>
    <x v="0"/>
    <n v="2021"/>
    <n v="47"/>
    <x v="0"/>
    <x v="0"/>
    <x v="3"/>
    <x v="3"/>
    <x v="1"/>
    <s v="Mountain-200 Black, 46"/>
    <n v="1"/>
    <n v="713"/>
    <n v="1120"/>
    <n v="1120"/>
    <n v="713"/>
    <n v="407"/>
    <s v="black"/>
    <x v="2"/>
  </r>
  <r>
    <d v="2021-10-24T00:00:00"/>
    <n v="24"/>
    <x v="0"/>
    <n v="2021"/>
    <n v="19"/>
    <x v="2"/>
    <x v="1"/>
    <x v="1"/>
    <x v="1"/>
    <x v="0"/>
    <s v="Road-150 Red, 56"/>
    <n v="3"/>
    <n v="713"/>
    <n v="1120"/>
    <n v="3360"/>
    <n v="2139"/>
    <n v="1221"/>
    <s v="red"/>
    <x v="1"/>
  </r>
  <r>
    <d v="2021-10-24T00:00:00"/>
    <n v="24"/>
    <x v="0"/>
    <n v="2021"/>
    <n v="27"/>
    <x v="1"/>
    <x v="0"/>
    <x v="5"/>
    <x v="24"/>
    <x v="0"/>
    <s v="Road-750 Black, 48"/>
    <n v="3"/>
    <n v="713"/>
    <n v="1120"/>
    <n v="3360"/>
    <n v="2139"/>
    <n v="1221"/>
    <s v="black"/>
    <x v="4"/>
  </r>
  <r>
    <d v="2021-10-24T00:00:00"/>
    <n v="24"/>
    <x v="0"/>
    <n v="2021"/>
    <n v="27"/>
    <x v="1"/>
    <x v="0"/>
    <x v="2"/>
    <x v="2"/>
    <x v="0"/>
    <s v="Road-350-W Yellow, 48"/>
    <n v="2"/>
    <n v="713"/>
    <n v="1120"/>
    <n v="2240"/>
    <n v="1426"/>
    <n v="814"/>
    <s v="yellow"/>
    <x v="0"/>
  </r>
  <r>
    <d v="2021-10-24T00:00:00"/>
    <n v="24"/>
    <x v="0"/>
    <n v="2021"/>
    <n v="41"/>
    <x v="0"/>
    <x v="0"/>
    <x v="1"/>
    <x v="1"/>
    <x v="1"/>
    <s v="Mountain-200 Black, 38"/>
    <n v="2"/>
    <n v="713"/>
    <n v="1120"/>
    <n v="2240"/>
    <n v="1426"/>
    <n v="814"/>
    <s v="black"/>
    <x v="2"/>
  </r>
  <r>
    <d v="2021-10-24T00:00:00"/>
    <n v="24"/>
    <x v="0"/>
    <n v="2021"/>
    <n v="41"/>
    <x v="0"/>
    <x v="1"/>
    <x v="3"/>
    <x v="5"/>
    <x v="1"/>
    <s v="Mountain-200 Silver, 46"/>
    <n v="2"/>
    <n v="713"/>
    <n v="1120"/>
    <n v="2240"/>
    <n v="1426"/>
    <n v="814"/>
    <s v="silver"/>
    <x v="3"/>
  </r>
  <r>
    <d v="2021-10-24T00:00:00"/>
    <n v="24"/>
    <x v="0"/>
    <n v="2021"/>
    <n v="27"/>
    <x v="1"/>
    <x v="1"/>
    <x v="1"/>
    <x v="1"/>
    <x v="0"/>
    <s v="Road-650 Red, 44"/>
    <n v="1"/>
    <n v="713"/>
    <n v="1120"/>
    <n v="1120"/>
    <n v="713"/>
    <n v="407"/>
    <s v="red"/>
    <x v="1"/>
  </r>
  <r>
    <d v="2021-10-24T00:00:00"/>
    <n v="24"/>
    <x v="0"/>
    <n v="2021"/>
    <n v="30"/>
    <x v="1"/>
    <x v="0"/>
    <x v="3"/>
    <x v="5"/>
    <x v="1"/>
    <s v="Mountain-200 Silver, 38"/>
    <n v="1"/>
    <n v="713"/>
    <n v="1120"/>
    <n v="1120"/>
    <n v="713"/>
    <n v="407"/>
    <s v="silver"/>
    <x v="3"/>
  </r>
  <r>
    <d v="2021-10-24T00:00:00"/>
    <n v="24"/>
    <x v="0"/>
    <n v="2021"/>
    <n v="39"/>
    <x v="0"/>
    <x v="0"/>
    <x v="3"/>
    <x v="7"/>
    <x v="0"/>
    <s v="Road-150 Red, 56"/>
    <n v="1"/>
    <n v="713"/>
    <n v="1120"/>
    <n v="1120"/>
    <n v="713"/>
    <n v="407"/>
    <s v="red"/>
    <x v="1"/>
  </r>
  <r>
    <d v="2021-10-24T00:00:00"/>
    <n v="24"/>
    <x v="0"/>
    <n v="2021"/>
    <n v="44"/>
    <x v="0"/>
    <x v="0"/>
    <x v="3"/>
    <x v="3"/>
    <x v="1"/>
    <s v="Mountain-400-W Silver, 38"/>
    <n v="1"/>
    <n v="713"/>
    <n v="1120"/>
    <n v="1120"/>
    <n v="713"/>
    <n v="407"/>
    <s v="silver"/>
    <x v="3"/>
  </r>
  <r>
    <d v="2021-10-25T00:00:00"/>
    <n v="25"/>
    <x v="0"/>
    <n v="2021"/>
    <n v="28"/>
    <x v="1"/>
    <x v="1"/>
    <x v="3"/>
    <x v="7"/>
    <x v="1"/>
    <s v="Mountain-200 Black, 38"/>
    <n v="4"/>
    <n v="713"/>
    <n v="1120"/>
    <n v="4480"/>
    <n v="2852"/>
    <n v="1628"/>
    <s v="black"/>
    <x v="2"/>
  </r>
  <r>
    <d v="2021-10-25T00:00:00"/>
    <n v="25"/>
    <x v="0"/>
    <n v="2021"/>
    <n v="31"/>
    <x v="1"/>
    <x v="0"/>
    <x v="3"/>
    <x v="7"/>
    <x v="1"/>
    <s v="Mountain-200 Black, 46"/>
    <n v="4"/>
    <n v="713"/>
    <n v="1120"/>
    <n v="4480"/>
    <n v="2852"/>
    <n v="1628"/>
    <s v="black"/>
    <x v="2"/>
  </r>
  <r>
    <d v="2021-10-25T00:00:00"/>
    <n v="25"/>
    <x v="0"/>
    <n v="2021"/>
    <n v="32"/>
    <x v="1"/>
    <x v="0"/>
    <x v="0"/>
    <x v="0"/>
    <x v="1"/>
    <s v="Mountain-200 Silver, 46"/>
    <n v="4"/>
    <n v="713"/>
    <n v="1120"/>
    <n v="4480"/>
    <n v="2852"/>
    <n v="1628"/>
    <s v="silver"/>
    <x v="3"/>
  </r>
  <r>
    <d v="2021-10-25T00:00:00"/>
    <n v="25"/>
    <x v="0"/>
    <n v="2021"/>
    <n v="23"/>
    <x v="2"/>
    <x v="1"/>
    <x v="5"/>
    <x v="23"/>
    <x v="1"/>
    <s v="Mountain-200 Black, 38"/>
    <n v="3"/>
    <n v="713"/>
    <n v="1120"/>
    <n v="3360"/>
    <n v="2139"/>
    <n v="1221"/>
    <s v="black"/>
    <x v="2"/>
  </r>
  <r>
    <d v="2021-10-25T00:00:00"/>
    <n v="25"/>
    <x v="0"/>
    <n v="2021"/>
    <n v="41"/>
    <x v="0"/>
    <x v="1"/>
    <x v="4"/>
    <x v="11"/>
    <x v="0"/>
    <s v="Road-550-W Yellow, 40"/>
    <n v="2"/>
    <n v="713"/>
    <n v="1120"/>
    <n v="2240"/>
    <n v="1426"/>
    <n v="814"/>
    <s v="yellow"/>
    <x v="0"/>
  </r>
  <r>
    <d v="2021-10-25T00:00:00"/>
    <n v="25"/>
    <x v="0"/>
    <n v="2021"/>
    <n v="24"/>
    <x v="2"/>
    <x v="0"/>
    <x v="3"/>
    <x v="3"/>
    <x v="0"/>
    <s v="Road-550-W Yellow, 42"/>
    <n v="1"/>
    <n v="713"/>
    <n v="1120"/>
    <n v="1120"/>
    <n v="713"/>
    <n v="407"/>
    <s v="yellow"/>
    <x v="0"/>
  </r>
  <r>
    <d v="2021-10-25T00:00:00"/>
    <n v="25"/>
    <x v="0"/>
    <n v="2021"/>
    <n v="37"/>
    <x v="0"/>
    <x v="0"/>
    <x v="1"/>
    <x v="1"/>
    <x v="0"/>
    <s v="Road-650 Red, 60"/>
    <n v="1"/>
    <n v="713"/>
    <n v="1120"/>
    <n v="1120"/>
    <n v="713"/>
    <n v="407"/>
    <s v="red"/>
    <x v="1"/>
  </r>
  <r>
    <d v="2021-10-26T00:00:00"/>
    <n v="26"/>
    <x v="0"/>
    <n v="2021"/>
    <n v="40"/>
    <x v="0"/>
    <x v="1"/>
    <x v="3"/>
    <x v="7"/>
    <x v="1"/>
    <s v="Mountain-200 Black, 42"/>
    <n v="3"/>
    <n v="713"/>
    <n v="1120"/>
    <n v="3360"/>
    <n v="2139"/>
    <n v="1221"/>
    <s v="black"/>
    <x v="2"/>
  </r>
  <r>
    <d v="2021-10-26T00:00:00"/>
    <n v="26"/>
    <x v="0"/>
    <n v="2021"/>
    <n v="27"/>
    <x v="1"/>
    <x v="1"/>
    <x v="2"/>
    <x v="2"/>
    <x v="1"/>
    <s v="Mountain-400-W Silver, 46"/>
    <n v="2"/>
    <n v="713"/>
    <n v="1120"/>
    <n v="2240"/>
    <n v="1426"/>
    <n v="814"/>
    <s v="silver"/>
    <x v="3"/>
  </r>
  <r>
    <d v="2021-10-26T00:00:00"/>
    <n v="26"/>
    <x v="0"/>
    <n v="2021"/>
    <n v="23"/>
    <x v="2"/>
    <x v="0"/>
    <x v="3"/>
    <x v="5"/>
    <x v="0"/>
    <s v="Road-350-W Yellow, 42"/>
    <n v="1"/>
    <n v="713"/>
    <n v="1120"/>
    <n v="1120"/>
    <n v="713"/>
    <n v="407"/>
    <s v="yellow"/>
    <x v="0"/>
  </r>
  <r>
    <d v="2021-10-26T00:00:00"/>
    <n v="26"/>
    <x v="0"/>
    <n v="2021"/>
    <n v="32"/>
    <x v="1"/>
    <x v="1"/>
    <x v="5"/>
    <x v="23"/>
    <x v="0"/>
    <s v="Road-150 Red, 48"/>
    <n v="1"/>
    <n v="713"/>
    <n v="1120"/>
    <n v="1120"/>
    <n v="713"/>
    <n v="407"/>
    <s v="red"/>
    <x v="1"/>
  </r>
  <r>
    <d v="2021-10-26T00:00:00"/>
    <n v="26"/>
    <x v="0"/>
    <n v="2021"/>
    <n v="37"/>
    <x v="0"/>
    <x v="0"/>
    <x v="0"/>
    <x v="17"/>
    <x v="0"/>
    <s v="Road-550-W Yellow, 42"/>
    <n v="1"/>
    <n v="713"/>
    <n v="1120"/>
    <n v="1120"/>
    <n v="713"/>
    <n v="407"/>
    <s v="yellow"/>
    <x v="0"/>
  </r>
  <r>
    <d v="2021-10-26T00:00:00"/>
    <n v="26"/>
    <x v="0"/>
    <n v="2021"/>
    <n v="46"/>
    <x v="0"/>
    <x v="0"/>
    <x v="3"/>
    <x v="7"/>
    <x v="0"/>
    <s v="Road-750 Black, 48"/>
    <n v="1"/>
    <n v="713"/>
    <n v="1120"/>
    <n v="1120"/>
    <n v="713"/>
    <n v="407"/>
    <s v="black"/>
    <x v="4"/>
  </r>
  <r>
    <d v="2021-10-26T00:00:00"/>
    <n v="26"/>
    <x v="0"/>
    <n v="2021"/>
    <n v="47"/>
    <x v="0"/>
    <x v="0"/>
    <x v="5"/>
    <x v="10"/>
    <x v="0"/>
    <s v="Road-250 Red, 52"/>
    <n v="1"/>
    <n v="713"/>
    <n v="1120"/>
    <n v="1120"/>
    <n v="713"/>
    <n v="407"/>
    <s v="red"/>
    <x v="1"/>
  </r>
  <r>
    <d v="2021-10-26T00:00:00"/>
    <n v="26"/>
    <x v="0"/>
    <n v="2021"/>
    <n v="51"/>
    <x v="0"/>
    <x v="0"/>
    <x v="0"/>
    <x v="0"/>
    <x v="1"/>
    <s v="Mountain-400-W Silver, 42"/>
    <n v="1"/>
    <n v="713"/>
    <n v="1120"/>
    <n v="1120"/>
    <n v="713"/>
    <n v="407"/>
    <s v="silver"/>
    <x v="3"/>
  </r>
  <r>
    <d v="2021-10-26T00:00:00"/>
    <n v="26"/>
    <x v="0"/>
    <n v="2021"/>
    <n v="57"/>
    <x v="0"/>
    <x v="1"/>
    <x v="3"/>
    <x v="3"/>
    <x v="0"/>
    <s v="Road-550-W Yellow, 42"/>
    <n v="1"/>
    <n v="713"/>
    <n v="1120"/>
    <n v="1120"/>
    <n v="713"/>
    <n v="407"/>
    <s v="yellow"/>
    <x v="0"/>
  </r>
  <r>
    <d v="2021-10-27T00:00:00"/>
    <n v="27"/>
    <x v="0"/>
    <n v="2021"/>
    <n v="47"/>
    <x v="0"/>
    <x v="1"/>
    <x v="1"/>
    <x v="1"/>
    <x v="0"/>
    <s v="Road-750 Black, 58"/>
    <n v="3"/>
    <n v="713"/>
    <n v="1120"/>
    <n v="3360"/>
    <n v="2139"/>
    <n v="1221"/>
    <s v="black"/>
    <x v="4"/>
  </r>
  <r>
    <d v="2021-10-27T00:00:00"/>
    <n v="27"/>
    <x v="0"/>
    <n v="2021"/>
    <n v="30"/>
    <x v="1"/>
    <x v="1"/>
    <x v="1"/>
    <x v="1"/>
    <x v="0"/>
    <s v="Road-750 Black, 52"/>
    <n v="1"/>
    <n v="713"/>
    <n v="1120"/>
    <n v="1120"/>
    <n v="713"/>
    <n v="407"/>
    <s v="black"/>
    <x v="4"/>
  </r>
  <r>
    <d v="2021-10-27T00:00:00"/>
    <n v="27"/>
    <x v="0"/>
    <n v="2021"/>
    <n v="36"/>
    <x v="0"/>
    <x v="0"/>
    <x v="3"/>
    <x v="7"/>
    <x v="0"/>
    <s v="Road-550-W Yellow, 48"/>
    <n v="1"/>
    <n v="713"/>
    <n v="1120"/>
    <n v="1120"/>
    <n v="713"/>
    <n v="407"/>
    <s v="yellow"/>
    <x v="0"/>
  </r>
  <r>
    <d v="2021-10-28T00:00:00"/>
    <n v="28"/>
    <x v="0"/>
    <n v="2021"/>
    <n v="27"/>
    <x v="1"/>
    <x v="1"/>
    <x v="2"/>
    <x v="2"/>
    <x v="0"/>
    <s v="Road-750 Black, 48"/>
    <n v="4"/>
    <n v="713"/>
    <n v="1120"/>
    <n v="4480"/>
    <n v="2852"/>
    <n v="1628"/>
    <s v="black"/>
    <x v="4"/>
  </r>
  <r>
    <d v="2021-10-28T00:00:00"/>
    <n v="28"/>
    <x v="0"/>
    <n v="2021"/>
    <n v="54"/>
    <x v="0"/>
    <x v="0"/>
    <x v="2"/>
    <x v="2"/>
    <x v="0"/>
    <s v="Road-750 Black, 52"/>
    <n v="4"/>
    <n v="713"/>
    <n v="1120"/>
    <n v="4480"/>
    <n v="2852"/>
    <n v="1628"/>
    <s v="black"/>
    <x v="4"/>
  </r>
  <r>
    <d v="2021-10-28T00:00:00"/>
    <n v="28"/>
    <x v="0"/>
    <n v="2021"/>
    <n v="31"/>
    <x v="1"/>
    <x v="1"/>
    <x v="4"/>
    <x v="18"/>
    <x v="0"/>
    <s v="Road-750 Black, 44"/>
    <n v="3"/>
    <n v="713"/>
    <n v="1120"/>
    <n v="3360"/>
    <n v="2139"/>
    <n v="1221"/>
    <s v="black"/>
    <x v="4"/>
  </r>
  <r>
    <d v="2021-10-28T00:00:00"/>
    <n v="28"/>
    <x v="0"/>
    <n v="2021"/>
    <n v="54"/>
    <x v="0"/>
    <x v="1"/>
    <x v="3"/>
    <x v="3"/>
    <x v="0"/>
    <s v="Road-550-W Yellow, 48"/>
    <n v="2"/>
    <n v="713"/>
    <n v="1120"/>
    <n v="2240"/>
    <n v="1426"/>
    <n v="814"/>
    <s v="yellow"/>
    <x v="0"/>
  </r>
  <r>
    <d v="2021-10-28T00:00:00"/>
    <n v="28"/>
    <x v="0"/>
    <n v="2021"/>
    <n v="21"/>
    <x v="2"/>
    <x v="0"/>
    <x v="0"/>
    <x v="0"/>
    <x v="0"/>
    <s v="Road-550-W Yellow, 40"/>
    <n v="1"/>
    <n v="713"/>
    <n v="1120"/>
    <n v="1120"/>
    <n v="713"/>
    <n v="407"/>
    <s v="yellow"/>
    <x v="0"/>
  </r>
  <r>
    <d v="2021-10-28T00:00:00"/>
    <n v="28"/>
    <x v="0"/>
    <n v="2021"/>
    <n v="42"/>
    <x v="0"/>
    <x v="1"/>
    <x v="3"/>
    <x v="5"/>
    <x v="0"/>
    <s v="Road-150 Red, 44"/>
    <n v="1"/>
    <n v="713"/>
    <n v="1120"/>
    <n v="1120"/>
    <n v="713"/>
    <n v="407"/>
    <s v="red"/>
    <x v="1"/>
  </r>
  <r>
    <d v="2021-10-29T00:00:00"/>
    <n v="29"/>
    <x v="0"/>
    <n v="2021"/>
    <n v="44"/>
    <x v="0"/>
    <x v="0"/>
    <x v="3"/>
    <x v="5"/>
    <x v="0"/>
    <s v="Road-750 Black, 44"/>
    <n v="4"/>
    <n v="713"/>
    <n v="1120"/>
    <n v="4480"/>
    <n v="2852"/>
    <n v="1628"/>
    <s v="black"/>
    <x v="4"/>
  </r>
  <r>
    <d v="2021-10-29T00:00:00"/>
    <n v="29"/>
    <x v="0"/>
    <n v="2021"/>
    <n v="29"/>
    <x v="1"/>
    <x v="0"/>
    <x v="3"/>
    <x v="5"/>
    <x v="0"/>
    <s v="Road-250 Black, 44"/>
    <n v="3"/>
    <n v="713"/>
    <n v="1120"/>
    <n v="3360"/>
    <n v="2139"/>
    <n v="1221"/>
    <s v="black"/>
    <x v="4"/>
  </r>
  <r>
    <d v="2021-10-29T00:00:00"/>
    <n v="29"/>
    <x v="0"/>
    <n v="2021"/>
    <n v="32"/>
    <x v="1"/>
    <x v="0"/>
    <x v="3"/>
    <x v="3"/>
    <x v="1"/>
    <s v="Mountain-200 Silver, 42"/>
    <n v="2"/>
    <n v="713"/>
    <n v="1120"/>
    <n v="2240"/>
    <n v="1426"/>
    <n v="814"/>
    <s v="silver"/>
    <x v="3"/>
  </r>
  <r>
    <d v="2021-10-29T00:00:00"/>
    <n v="29"/>
    <x v="0"/>
    <n v="2021"/>
    <n v="27"/>
    <x v="1"/>
    <x v="0"/>
    <x v="3"/>
    <x v="3"/>
    <x v="1"/>
    <s v="Mountain-200 Silver, 38"/>
    <n v="1"/>
    <n v="713"/>
    <n v="1120"/>
    <n v="1120"/>
    <n v="713"/>
    <n v="407"/>
    <s v="silver"/>
    <x v="3"/>
  </r>
  <r>
    <d v="2021-10-29T00:00:00"/>
    <n v="29"/>
    <x v="0"/>
    <n v="2021"/>
    <n v="32"/>
    <x v="1"/>
    <x v="1"/>
    <x v="3"/>
    <x v="3"/>
    <x v="0"/>
    <s v="Road-350-W Yellow, 42"/>
    <n v="1"/>
    <n v="713"/>
    <n v="1120"/>
    <n v="1120"/>
    <n v="713"/>
    <n v="407"/>
    <s v="yellow"/>
    <x v="0"/>
  </r>
  <r>
    <d v="2021-10-29T00:00:00"/>
    <n v="29"/>
    <x v="0"/>
    <n v="2021"/>
    <n v="40"/>
    <x v="0"/>
    <x v="0"/>
    <x v="4"/>
    <x v="6"/>
    <x v="0"/>
    <s v="Road-650 Red, 62"/>
    <n v="1"/>
    <n v="713"/>
    <n v="1120"/>
    <n v="1120"/>
    <n v="713"/>
    <n v="407"/>
    <s v="red"/>
    <x v="1"/>
  </r>
  <r>
    <d v="2021-10-30T00:00:00"/>
    <n v="30"/>
    <x v="0"/>
    <n v="2021"/>
    <n v="33"/>
    <x v="1"/>
    <x v="0"/>
    <x v="3"/>
    <x v="7"/>
    <x v="0"/>
    <s v="Road-250 Black, 58"/>
    <n v="4"/>
    <n v="713"/>
    <n v="1120"/>
    <n v="4480"/>
    <n v="2852"/>
    <n v="1628"/>
    <s v="black"/>
    <x v="4"/>
  </r>
  <r>
    <d v="2021-10-30T00:00:00"/>
    <n v="30"/>
    <x v="0"/>
    <n v="2021"/>
    <n v="51"/>
    <x v="0"/>
    <x v="1"/>
    <x v="0"/>
    <x v="0"/>
    <x v="1"/>
    <s v="Mountain-400-W Silver, 38"/>
    <n v="4"/>
    <n v="713"/>
    <n v="1120"/>
    <n v="4480"/>
    <n v="2852"/>
    <n v="1628"/>
    <s v="silver"/>
    <x v="3"/>
  </r>
  <r>
    <d v="2021-10-30T00:00:00"/>
    <n v="30"/>
    <x v="0"/>
    <n v="2021"/>
    <n v="23"/>
    <x v="2"/>
    <x v="1"/>
    <x v="0"/>
    <x v="0"/>
    <x v="0"/>
    <s v="Road-550-W Yellow, 42"/>
    <n v="3"/>
    <n v="713"/>
    <n v="1120"/>
    <n v="3360"/>
    <n v="2139"/>
    <n v="1221"/>
    <s v="yellow"/>
    <x v="0"/>
  </r>
  <r>
    <d v="2021-10-30T00:00:00"/>
    <n v="30"/>
    <x v="0"/>
    <n v="2021"/>
    <n v="26"/>
    <x v="1"/>
    <x v="0"/>
    <x v="3"/>
    <x v="3"/>
    <x v="1"/>
    <s v="Mountain-200 Silver, 38"/>
    <n v="3"/>
    <n v="713"/>
    <n v="1120"/>
    <n v="3360"/>
    <n v="2139"/>
    <n v="1221"/>
    <s v="silver"/>
    <x v="3"/>
  </r>
  <r>
    <d v="2021-10-30T00:00:00"/>
    <n v="30"/>
    <x v="0"/>
    <n v="2021"/>
    <n v="33"/>
    <x v="1"/>
    <x v="0"/>
    <x v="5"/>
    <x v="22"/>
    <x v="0"/>
    <s v="Road-150 Red, 44"/>
    <n v="3"/>
    <n v="713"/>
    <n v="1120"/>
    <n v="3360"/>
    <n v="2139"/>
    <n v="1221"/>
    <s v="red"/>
    <x v="1"/>
  </r>
  <r>
    <d v="2021-10-30T00:00:00"/>
    <n v="30"/>
    <x v="0"/>
    <n v="2021"/>
    <n v="42"/>
    <x v="0"/>
    <x v="0"/>
    <x v="3"/>
    <x v="7"/>
    <x v="0"/>
    <s v="Road-750 Black, 48"/>
    <n v="3"/>
    <n v="713"/>
    <n v="1120"/>
    <n v="3360"/>
    <n v="2139"/>
    <n v="1221"/>
    <s v="black"/>
    <x v="4"/>
  </r>
  <r>
    <d v="2021-10-30T00:00:00"/>
    <n v="30"/>
    <x v="0"/>
    <n v="2021"/>
    <n v="53"/>
    <x v="0"/>
    <x v="1"/>
    <x v="5"/>
    <x v="23"/>
    <x v="0"/>
    <s v="Road-150 Red, 48"/>
    <n v="3"/>
    <n v="713"/>
    <n v="1120"/>
    <n v="3360"/>
    <n v="2139"/>
    <n v="1221"/>
    <s v="red"/>
    <x v="1"/>
  </r>
  <r>
    <d v="2021-10-30T00:00:00"/>
    <n v="30"/>
    <x v="0"/>
    <n v="2021"/>
    <n v="27"/>
    <x v="1"/>
    <x v="1"/>
    <x v="5"/>
    <x v="22"/>
    <x v="1"/>
    <s v="Mountain-200 Black, 42"/>
    <n v="2"/>
    <n v="713"/>
    <n v="1120"/>
    <n v="2240"/>
    <n v="1426"/>
    <n v="814"/>
    <s v="black"/>
    <x v="2"/>
  </r>
  <r>
    <d v="2021-10-30T00:00:00"/>
    <n v="30"/>
    <x v="0"/>
    <n v="2021"/>
    <n v="30"/>
    <x v="1"/>
    <x v="0"/>
    <x v="5"/>
    <x v="23"/>
    <x v="0"/>
    <s v="Road-650 Black, 52"/>
    <n v="1"/>
    <n v="713"/>
    <n v="1120"/>
    <n v="1120"/>
    <n v="713"/>
    <n v="407"/>
    <s v="black"/>
    <x v="4"/>
  </r>
  <r>
    <d v="2021-10-30T00:00:00"/>
    <n v="30"/>
    <x v="0"/>
    <n v="2021"/>
    <n v="36"/>
    <x v="0"/>
    <x v="0"/>
    <x v="0"/>
    <x v="17"/>
    <x v="0"/>
    <s v="Road-250 Black, 58"/>
    <n v="1"/>
    <n v="713"/>
    <n v="1120"/>
    <n v="1120"/>
    <n v="713"/>
    <n v="407"/>
    <s v="black"/>
    <x v="4"/>
  </r>
  <r>
    <d v="2021-10-30T00:00:00"/>
    <n v="30"/>
    <x v="0"/>
    <n v="2021"/>
    <n v="43"/>
    <x v="0"/>
    <x v="0"/>
    <x v="0"/>
    <x v="0"/>
    <x v="0"/>
    <s v="Road-150 Red, 44"/>
    <n v="1"/>
    <n v="713"/>
    <n v="1120"/>
    <n v="1120"/>
    <n v="713"/>
    <n v="407"/>
    <s v="red"/>
    <x v="1"/>
  </r>
  <r>
    <d v="2021-10-30T00:00:00"/>
    <n v="30"/>
    <x v="0"/>
    <n v="2021"/>
    <n v="54"/>
    <x v="0"/>
    <x v="1"/>
    <x v="3"/>
    <x v="5"/>
    <x v="0"/>
    <s v="Road-650 Black, 52"/>
    <n v="1"/>
    <n v="713"/>
    <n v="1120"/>
    <n v="1120"/>
    <n v="713"/>
    <n v="407"/>
    <s v="black"/>
    <x v="4"/>
  </r>
  <r>
    <d v="2021-10-31T00:00:00"/>
    <n v="31"/>
    <x v="0"/>
    <n v="2021"/>
    <n v="21"/>
    <x v="2"/>
    <x v="0"/>
    <x v="0"/>
    <x v="0"/>
    <x v="0"/>
    <s v="Road-550-W Yellow, 40"/>
    <n v="2"/>
    <n v="713"/>
    <n v="1120"/>
    <n v="2240"/>
    <n v="1426"/>
    <n v="814"/>
    <s v="yellow"/>
    <x v="0"/>
  </r>
  <r>
    <d v="2021-10-31T00:00:00"/>
    <n v="31"/>
    <x v="0"/>
    <n v="2021"/>
    <n v="45"/>
    <x v="0"/>
    <x v="0"/>
    <x v="0"/>
    <x v="0"/>
    <x v="0"/>
    <s v="Road-750 Black, 52"/>
    <n v="2"/>
    <n v="713"/>
    <n v="1120"/>
    <n v="2240"/>
    <n v="1426"/>
    <n v="814"/>
    <s v="black"/>
    <x v="4"/>
  </r>
  <r>
    <d v="2021-10-31T00:00:00"/>
    <n v="31"/>
    <x v="0"/>
    <n v="2021"/>
    <n v="32"/>
    <x v="1"/>
    <x v="0"/>
    <x v="4"/>
    <x v="6"/>
    <x v="0"/>
    <s v="Road-250 Black, 44"/>
    <n v="1"/>
    <n v="713"/>
    <n v="1120"/>
    <n v="1120"/>
    <n v="713"/>
    <n v="407"/>
    <s v="black"/>
    <x v="4"/>
  </r>
  <r>
    <d v="2021-10-31T00:00:00"/>
    <n v="31"/>
    <x v="0"/>
    <n v="2021"/>
    <n v="39"/>
    <x v="0"/>
    <x v="0"/>
    <x v="2"/>
    <x v="2"/>
    <x v="0"/>
    <s v="Road-750 Black, 48"/>
    <n v="1"/>
    <n v="713"/>
    <n v="1120"/>
    <n v="1120"/>
    <n v="713"/>
    <n v="407"/>
    <s v="black"/>
    <x v="4"/>
  </r>
  <r>
    <d v="2021-10-31T00:00:00"/>
    <n v="31"/>
    <x v="0"/>
    <n v="2021"/>
    <n v="57"/>
    <x v="0"/>
    <x v="1"/>
    <x v="3"/>
    <x v="7"/>
    <x v="0"/>
    <s v="Road-550-W Yellow, 48"/>
    <n v="1"/>
    <n v="713"/>
    <n v="1120"/>
    <n v="1120"/>
    <n v="713"/>
    <n v="407"/>
    <s v="yellow"/>
    <x v="0"/>
  </r>
  <r>
    <d v="2021-11-01T00:00:00"/>
    <n v="1"/>
    <x v="1"/>
    <n v="2021"/>
    <n v="17"/>
    <x v="2"/>
    <x v="1"/>
    <x v="3"/>
    <x v="7"/>
    <x v="0"/>
    <s v="Road-750 Black, 48"/>
    <n v="3"/>
    <n v="713"/>
    <n v="1120"/>
    <n v="3360"/>
    <n v="2139"/>
    <n v="1221"/>
    <s v="black"/>
    <x v="4"/>
  </r>
  <r>
    <d v="2021-11-01T00:00:00"/>
    <n v="1"/>
    <x v="1"/>
    <n v="2021"/>
    <n v="20"/>
    <x v="2"/>
    <x v="1"/>
    <x v="3"/>
    <x v="7"/>
    <x v="0"/>
    <s v="Road-750 Black, 44"/>
    <n v="1"/>
    <n v="713"/>
    <n v="1120"/>
    <n v="1120"/>
    <n v="713"/>
    <n v="407"/>
    <s v="black"/>
    <x v="4"/>
  </r>
  <r>
    <d v="2021-11-01T00:00:00"/>
    <n v="1"/>
    <x v="1"/>
    <n v="2021"/>
    <n v="37"/>
    <x v="0"/>
    <x v="1"/>
    <x v="0"/>
    <x v="0"/>
    <x v="0"/>
    <s v="Road-650 Red, 48"/>
    <n v="1"/>
    <n v="713"/>
    <n v="1120"/>
    <n v="1120"/>
    <n v="713"/>
    <n v="407"/>
    <s v="red"/>
    <x v="1"/>
  </r>
  <r>
    <d v="2021-11-01T00:00:00"/>
    <n v="1"/>
    <x v="1"/>
    <n v="2021"/>
    <n v="44"/>
    <x v="0"/>
    <x v="1"/>
    <x v="2"/>
    <x v="2"/>
    <x v="0"/>
    <s v="Road-550-W Yellow, 48"/>
    <n v="1"/>
    <n v="713"/>
    <n v="1120"/>
    <n v="1120"/>
    <n v="713"/>
    <n v="407"/>
    <s v="yellow"/>
    <x v="0"/>
  </r>
  <r>
    <d v="2021-11-01T00:00:00"/>
    <n v="1"/>
    <x v="1"/>
    <n v="2021"/>
    <n v="48"/>
    <x v="0"/>
    <x v="1"/>
    <x v="4"/>
    <x v="18"/>
    <x v="0"/>
    <s v="Road-650 Black, 60"/>
    <n v="1"/>
    <n v="713"/>
    <n v="1120"/>
    <n v="1120"/>
    <n v="713"/>
    <n v="407"/>
    <s v="black"/>
    <x v="4"/>
  </r>
  <r>
    <d v="2021-11-01T00:00:00"/>
    <n v="1"/>
    <x v="1"/>
    <n v="2021"/>
    <n v="56"/>
    <x v="0"/>
    <x v="0"/>
    <x v="0"/>
    <x v="17"/>
    <x v="0"/>
    <s v="Road-250 Black, 52"/>
    <n v="1"/>
    <n v="713"/>
    <n v="1120"/>
    <n v="1120"/>
    <n v="713"/>
    <n v="407"/>
    <s v="black"/>
    <x v="4"/>
  </r>
  <r>
    <d v="2021-11-02T00:00:00"/>
    <n v="2"/>
    <x v="1"/>
    <n v="2021"/>
    <n v="19"/>
    <x v="2"/>
    <x v="1"/>
    <x v="0"/>
    <x v="0"/>
    <x v="1"/>
    <s v="Mountain-400-W Silver, 42"/>
    <n v="4"/>
    <n v="713"/>
    <n v="1120"/>
    <n v="4480"/>
    <n v="2852"/>
    <n v="1628"/>
    <s v="silver"/>
    <x v="3"/>
  </r>
  <r>
    <d v="2021-11-02T00:00:00"/>
    <n v="2"/>
    <x v="1"/>
    <n v="2021"/>
    <n v="41"/>
    <x v="0"/>
    <x v="0"/>
    <x v="4"/>
    <x v="18"/>
    <x v="1"/>
    <s v="Mountain-200 Silver, 46"/>
    <n v="4"/>
    <n v="713"/>
    <n v="1120"/>
    <n v="4480"/>
    <n v="2852"/>
    <n v="1628"/>
    <s v="silver"/>
    <x v="3"/>
  </r>
  <r>
    <d v="2021-11-02T00:00:00"/>
    <n v="2"/>
    <x v="1"/>
    <n v="2021"/>
    <n v="17"/>
    <x v="2"/>
    <x v="1"/>
    <x v="3"/>
    <x v="5"/>
    <x v="0"/>
    <s v="Road-650 Red, 48"/>
    <n v="3"/>
    <n v="713"/>
    <n v="1120"/>
    <n v="3360"/>
    <n v="2139"/>
    <n v="1221"/>
    <s v="red"/>
    <x v="1"/>
  </r>
  <r>
    <d v="2021-11-02T00:00:00"/>
    <n v="2"/>
    <x v="1"/>
    <n v="2021"/>
    <n v="17"/>
    <x v="2"/>
    <x v="1"/>
    <x v="3"/>
    <x v="7"/>
    <x v="0"/>
    <s v="Road-750 Black, 48"/>
    <n v="3"/>
    <n v="713"/>
    <n v="1120"/>
    <n v="3360"/>
    <n v="2139"/>
    <n v="1221"/>
    <s v="black"/>
    <x v="4"/>
  </r>
  <r>
    <d v="2021-11-03T00:00:00"/>
    <n v="3"/>
    <x v="1"/>
    <n v="2021"/>
    <n v="18"/>
    <x v="2"/>
    <x v="0"/>
    <x v="3"/>
    <x v="3"/>
    <x v="0"/>
    <s v="Road-150 Red, 62"/>
    <n v="4"/>
    <n v="713"/>
    <n v="1120"/>
    <n v="4480"/>
    <n v="2852"/>
    <n v="1628"/>
    <s v="red"/>
    <x v="1"/>
  </r>
  <r>
    <d v="2021-11-03T00:00:00"/>
    <n v="3"/>
    <x v="1"/>
    <n v="2021"/>
    <n v="28"/>
    <x v="1"/>
    <x v="1"/>
    <x v="2"/>
    <x v="2"/>
    <x v="0"/>
    <s v="Road-150 Red, 62"/>
    <n v="4"/>
    <n v="713"/>
    <n v="1120"/>
    <n v="4480"/>
    <n v="2852"/>
    <n v="1628"/>
    <s v="red"/>
    <x v="1"/>
  </r>
  <r>
    <d v="2021-11-03T00:00:00"/>
    <n v="3"/>
    <x v="1"/>
    <n v="2021"/>
    <n v="24"/>
    <x v="2"/>
    <x v="0"/>
    <x v="3"/>
    <x v="5"/>
    <x v="0"/>
    <s v="Road-250 Black, 52"/>
    <n v="2"/>
    <n v="713"/>
    <n v="1120"/>
    <n v="2240"/>
    <n v="1426"/>
    <n v="814"/>
    <s v="black"/>
    <x v="4"/>
  </r>
  <r>
    <d v="2021-11-03T00:00:00"/>
    <n v="3"/>
    <x v="1"/>
    <n v="2021"/>
    <n v="29"/>
    <x v="1"/>
    <x v="1"/>
    <x v="4"/>
    <x v="12"/>
    <x v="0"/>
    <s v="Road-150 Red, 52"/>
    <n v="1"/>
    <n v="713"/>
    <n v="1120"/>
    <n v="1120"/>
    <n v="713"/>
    <n v="407"/>
    <s v="red"/>
    <x v="1"/>
  </r>
  <r>
    <d v="2021-11-03T00:00:00"/>
    <n v="3"/>
    <x v="1"/>
    <n v="2021"/>
    <n v="45"/>
    <x v="0"/>
    <x v="0"/>
    <x v="1"/>
    <x v="1"/>
    <x v="1"/>
    <s v="Mountain-200 Silver, 38"/>
    <n v="1"/>
    <n v="713"/>
    <n v="1120"/>
    <n v="1120"/>
    <n v="713"/>
    <n v="407"/>
    <s v="silver"/>
    <x v="3"/>
  </r>
  <r>
    <d v="2021-11-03T00:00:00"/>
    <n v="3"/>
    <x v="1"/>
    <n v="2021"/>
    <n v="47"/>
    <x v="0"/>
    <x v="0"/>
    <x v="0"/>
    <x v="8"/>
    <x v="1"/>
    <s v="Mountain-500 Silver, 40"/>
    <n v="1"/>
    <n v="713"/>
    <n v="1120"/>
    <n v="1120"/>
    <n v="713"/>
    <n v="407"/>
    <s v="silver"/>
    <x v="3"/>
  </r>
  <r>
    <d v="2021-11-04T00:00:00"/>
    <n v="4"/>
    <x v="1"/>
    <n v="2021"/>
    <n v="58"/>
    <x v="0"/>
    <x v="0"/>
    <x v="0"/>
    <x v="17"/>
    <x v="0"/>
    <s v="Road-250 Black, 52"/>
    <n v="1"/>
    <n v="713"/>
    <n v="1120"/>
    <n v="1120"/>
    <n v="713"/>
    <n v="407"/>
    <s v="black"/>
    <x v="4"/>
  </r>
  <r>
    <d v="2021-11-05T00:00:00"/>
    <n v="5"/>
    <x v="1"/>
    <n v="2021"/>
    <n v="25"/>
    <x v="1"/>
    <x v="0"/>
    <x v="3"/>
    <x v="5"/>
    <x v="0"/>
    <s v="Road-250 Black, 52"/>
    <n v="3"/>
    <n v="713"/>
    <n v="1120"/>
    <n v="3360"/>
    <n v="2139"/>
    <n v="1221"/>
    <s v="black"/>
    <x v="4"/>
  </r>
  <r>
    <d v="2021-11-05T00:00:00"/>
    <n v="5"/>
    <x v="1"/>
    <n v="2021"/>
    <n v="24"/>
    <x v="2"/>
    <x v="0"/>
    <x v="4"/>
    <x v="11"/>
    <x v="0"/>
    <s v="Road-550-W Yellow, 42"/>
    <n v="2"/>
    <n v="713"/>
    <n v="1120"/>
    <n v="2240"/>
    <n v="1426"/>
    <n v="814"/>
    <s v="yellow"/>
    <x v="0"/>
  </r>
  <r>
    <d v="2021-11-05T00:00:00"/>
    <n v="5"/>
    <x v="1"/>
    <n v="2021"/>
    <n v="25"/>
    <x v="1"/>
    <x v="1"/>
    <x v="0"/>
    <x v="0"/>
    <x v="0"/>
    <s v="Road-750 Black, 52"/>
    <n v="1"/>
    <n v="713"/>
    <n v="1120"/>
    <n v="1120"/>
    <n v="713"/>
    <n v="407"/>
    <s v="black"/>
    <x v="4"/>
  </r>
  <r>
    <d v="2021-11-05T00:00:00"/>
    <n v="5"/>
    <x v="1"/>
    <n v="2021"/>
    <n v="25"/>
    <x v="1"/>
    <x v="1"/>
    <x v="3"/>
    <x v="3"/>
    <x v="0"/>
    <s v="Road-550-W Yellow, 40"/>
    <n v="1"/>
    <n v="713"/>
    <n v="1120"/>
    <n v="1120"/>
    <n v="713"/>
    <n v="407"/>
    <s v="yellow"/>
    <x v="0"/>
  </r>
  <r>
    <d v="2021-11-05T00:00:00"/>
    <n v="5"/>
    <x v="1"/>
    <n v="2021"/>
    <n v="31"/>
    <x v="1"/>
    <x v="0"/>
    <x v="0"/>
    <x v="17"/>
    <x v="0"/>
    <s v="Road-150 Red, 52"/>
    <n v="1"/>
    <n v="713"/>
    <n v="1120"/>
    <n v="1120"/>
    <n v="713"/>
    <n v="407"/>
    <s v="red"/>
    <x v="1"/>
  </r>
  <r>
    <d v="2021-11-05T00:00:00"/>
    <n v="5"/>
    <x v="1"/>
    <n v="2021"/>
    <n v="34"/>
    <x v="1"/>
    <x v="0"/>
    <x v="4"/>
    <x v="18"/>
    <x v="0"/>
    <s v="Road-750 Black, 48"/>
    <n v="1"/>
    <n v="713"/>
    <n v="1120"/>
    <n v="1120"/>
    <n v="713"/>
    <n v="407"/>
    <s v="black"/>
    <x v="4"/>
  </r>
  <r>
    <d v="2021-11-06T00:00:00"/>
    <n v="6"/>
    <x v="1"/>
    <n v="2021"/>
    <n v="24"/>
    <x v="2"/>
    <x v="0"/>
    <x v="5"/>
    <x v="25"/>
    <x v="0"/>
    <s v="Road-250 Red, 58"/>
    <n v="3"/>
    <n v="713"/>
    <n v="1120"/>
    <n v="3360"/>
    <n v="2139"/>
    <n v="1221"/>
    <s v="red"/>
    <x v="1"/>
  </r>
  <r>
    <d v="2021-11-06T00:00:00"/>
    <n v="6"/>
    <x v="1"/>
    <n v="2021"/>
    <n v="36"/>
    <x v="0"/>
    <x v="0"/>
    <x v="0"/>
    <x v="0"/>
    <x v="0"/>
    <s v="Road-650 Red, 62"/>
    <n v="2"/>
    <n v="713"/>
    <n v="1120"/>
    <n v="2240"/>
    <n v="1426"/>
    <n v="814"/>
    <s v="red"/>
    <x v="1"/>
  </r>
  <r>
    <d v="2021-11-06T00:00:00"/>
    <n v="6"/>
    <x v="1"/>
    <n v="2021"/>
    <n v="40"/>
    <x v="0"/>
    <x v="0"/>
    <x v="3"/>
    <x v="4"/>
    <x v="1"/>
    <s v="Mountain-200 Silver, 42"/>
    <n v="2"/>
    <n v="713"/>
    <n v="1120"/>
    <n v="2240"/>
    <n v="1426"/>
    <n v="814"/>
    <s v="silver"/>
    <x v="3"/>
  </r>
  <r>
    <d v="2021-11-06T00:00:00"/>
    <n v="6"/>
    <x v="1"/>
    <n v="2021"/>
    <n v="19"/>
    <x v="2"/>
    <x v="0"/>
    <x v="3"/>
    <x v="3"/>
    <x v="0"/>
    <s v="Road-750 Black, 52"/>
    <n v="1"/>
    <n v="713"/>
    <n v="1120"/>
    <n v="1120"/>
    <n v="713"/>
    <n v="407"/>
    <s v="black"/>
    <x v="4"/>
  </r>
  <r>
    <d v="2021-11-06T00:00:00"/>
    <n v="6"/>
    <x v="1"/>
    <n v="2021"/>
    <n v="24"/>
    <x v="2"/>
    <x v="0"/>
    <x v="3"/>
    <x v="7"/>
    <x v="0"/>
    <s v="Road-550-W Yellow, 40"/>
    <n v="1"/>
    <n v="713"/>
    <n v="1120"/>
    <n v="1120"/>
    <n v="713"/>
    <n v="407"/>
    <s v="yellow"/>
    <x v="0"/>
  </r>
  <r>
    <d v="2021-11-06T00:00:00"/>
    <n v="6"/>
    <x v="1"/>
    <n v="2021"/>
    <n v="29"/>
    <x v="1"/>
    <x v="0"/>
    <x v="5"/>
    <x v="21"/>
    <x v="0"/>
    <s v="Road-550-W Yellow, 48"/>
    <n v="1"/>
    <n v="713"/>
    <n v="1120"/>
    <n v="1120"/>
    <n v="713"/>
    <n v="407"/>
    <s v="yellow"/>
    <x v="0"/>
  </r>
  <r>
    <d v="2021-11-06T00:00:00"/>
    <n v="6"/>
    <x v="1"/>
    <n v="2021"/>
    <n v="29"/>
    <x v="1"/>
    <x v="0"/>
    <x v="2"/>
    <x v="2"/>
    <x v="0"/>
    <s v="Road-550-W Yellow, 38"/>
    <n v="1"/>
    <n v="713"/>
    <n v="1120"/>
    <n v="1120"/>
    <n v="713"/>
    <n v="407"/>
    <s v="yellow"/>
    <x v="0"/>
  </r>
  <r>
    <d v="2021-11-06T00:00:00"/>
    <n v="6"/>
    <x v="1"/>
    <n v="2021"/>
    <n v="35"/>
    <x v="0"/>
    <x v="0"/>
    <x v="4"/>
    <x v="18"/>
    <x v="0"/>
    <s v="Road-250 Black, 58"/>
    <n v="1"/>
    <n v="713"/>
    <n v="1120"/>
    <n v="1120"/>
    <n v="713"/>
    <n v="407"/>
    <s v="black"/>
    <x v="4"/>
  </r>
  <r>
    <d v="2021-11-06T00:00:00"/>
    <n v="6"/>
    <x v="1"/>
    <n v="2021"/>
    <n v="40"/>
    <x v="0"/>
    <x v="0"/>
    <x v="3"/>
    <x v="5"/>
    <x v="0"/>
    <s v="Road-250 Black, 52"/>
    <n v="1"/>
    <n v="713"/>
    <n v="1120"/>
    <n v="1120"/>
    <n v="713"/>
    <n v="407"/>
    <s v="black"/>
    <x v="4"/>
  </r>
  <r>
    <d v="2021-11-07T00:00:00"/>
    <n v="7"/>
    <x v="1"/>
    <n v="2021"/>
    <n v="56"/>
    <x v="0"/>
    <x v="0"/>
    <x v="0"/>
    <x v="0"/>
    <x v="0"/>
    <s v="Road-550-W Yellow, 44"/>
    <n v="4"/>
    <n v="713"/>
    <n v="1120"/>
    <n v="4480"/>
    <n v="2852"/>
    <n v="1628"/>
    <s v="yellow"/>
    <x v="0"/>
  </r>
  <r>
    <d v="2021-11-07T00:00:00"/>
    <n v="7"/>
    <x v="1"/>
    <n v="2021"/>
    <n v="25"/>
    <x v="1"/>
    <x v="0"/>
    <x v="0"/>
    <x v="17"/>
    <x v="0"/>
    <s v="Road-550-W Yellow, 40"/>
    <n v="3"/>
    <n v="713"/>
    <n v="1120"/>
    <n v="3360"/>
    <n v="2139"/>
    <n v="1221"/>
    <s v="yellow"/>
    <x v="0"/>
  </r>
  <r>
    <d v="2021-11-07T00:00:00"/>
    <n v="7"/>
    <x v="1"/>
    <n v="2021"/>
    <n v="50"/>
    <x v="0"/>
    <x v="1"/>
    <x v="4"/>
    <x v="11"/>
    <x v="0"/>
    <s v="Road-650 Red, 62"/>
    <n v="2"/>
    <n v="713"/>
    <n v="1120"/>
    <n v="2240"/>
    <n v="1426"/>
    <n v="814"/>
    <s v="red"/>
    <x v="1"/>
  </r>
  <r>
    <d v="2021-11-07T00:00:00"/>
    <n v="7"/>
    <x v="1"/>
    <n v="2021"/>
    <n v="18"/>
    <x v="2"/>
    <x v="0"/>
    <x v="3"/>
    <x v="3"/>
    <x v="0"/>
    <s v="Road-150 Red, 62"/>
    <n v="1"/>
    <n v="713"/>
    <n v="1120"/>
    <n v="1120"/>
    <n v="713"/>
    <n v="407"/>
    <s v="red"/>
    <x v="1"/>
  </r>
  <r>
    <d v="2021-11-07T00:00:00"/>
    <n v="7"/>
    <x v="1"/>
    <n v="2021"/>
    <n v="29"/>
    <x v="1"/>
    <x v="1"/>
    <x v="0"/>
    <x v="0"/>
    <x v="1"/>
    <s v="Mountain-200 Black, 38"/>
    <n v="1"/>
    <n v="713"/>
    <n v="1120"/>
    <n v="1120"/>
    <n v="713"/>
    <n v="407"/>
    <s v="black"/>
    <x v="2"/>
  </r>
  <r>
    <d v="2021-11-08T00:00:00"/>
    <n v="8"/>
    <x v="1"/>
    <n v="2021"/>
    <n v="25"/>
    <x v="1"/>
    <x v="1"/>
    <x v="3"/>
    <x v="5"/>
    <x v="0"/>
    <s v="Road-550-W Yellow, 44"/>
    <n v="4"/>
    <n v="713"/>
    <n v="1120"/>
    <n v="4480"/>
    <n v="2852"/>
    <n v="1628"/>
    <s v="yellow"/>
    <x v="0"/>
  </r>
  <r>
    <d v="2021-11-08T00:00:00"/>
    <n v="8"/>
    <x v="1"/>
    <n v="2021"/>
    <n v="35"/>
    <x v="0"/>
    <x v="1"/>
    <x v="1"/>
    <x v="1"/>
    <x v="1"/>
    <s v="Mountain-500 Black, 44"/>
    <n v="2"/>
    <n v="713"/>
    <n v="1120"/>
    <n v="2240"/>
    <n v="1426"/>
    <n v="814"/>
    <s v="black"/>
    <x v="2"/>
  </r>
  <r>
    <d v="2021-11-08T00:00:00"/>
    <n v="8"/>
    <x v="1"/>
    <n v="2021"/>
    <n v="17"/>
    <x v="2"/>
    <x v="1"/>
    <x v="3"/>
    <x v="5"/>
    <x v="0"/>
    <s v="Road-650 Red, 48"/>
    <n v="1"/>
    <n v="713"/>
    <n v="1120"/>
    <n v="1120"/>
    <n v="713"/>
    <n v="407"/>
    <s v="red"/>
    <x v="1"/>
  </r>
  <r>
    <d v="2021-11-08T00:00:00"/>
    <n v="8"/>
    <x v="1"/>
    <n v="2021"/>
    <n v="39"/>
    <x v="0"/>
    <x v="1"/>
    <x v="3"/>
    <x v="7"/>
    <x v="1"/>
    <s v="Mountain-400-W Silver, 40"/>
    <n v="1"/>
    <n v="713"/>
    <n v="1120"/>
    <n v="1120"/>
    <n v="713"/>
    <n v="407"/>
    <s v="silver"/>
    <x v="3"/>
  </r>
  <r>
    <d v="2021-11-08T00:00:00"/>
    <n v="8"/>
    <x v="1"/>
    <n v="2021"/>
    <n v="40"/>
    <x v="0"/>
    <x v="1"/>
    <x v="3"/>
    <x v="5"/>
    <x v="0"/>
    <s v="Road-250 Red, 58"/>
    <n v="1"/>
    <n v="713"/>
    <n v="1120"/>
    <n v="1120"/>
    <n v="713"/>
    <n v="407"/>
    <s v="red"/>
    <x v="1"/>
  </r>
  <r>
    <d v="2021-11-08T00:00:00"/>
    <n v="8"/>
    <x v="1"/>
    <n v="2021"/>
    <n v="41"/>
    <x v="0"/>
    <x v="1"/>
    <x v="2"/>
    <x v="2"/>
    <x v="0"/>
    <s v="Road-250 Red, 48"/>
    <n v="1"/>
    <n v="713"/>
    <n v="1120"/>
    <n v="1120"/>
    <n v="713"/>
    <n v="407"/>
    <s v="red"/>
    <x v="1"/>
  </r>
  <r>
    <d v="2021-11-08T00:00:00"/>
    <n v="8"/>
    <x v="1"/>
    <n v="2021"/>
    <n v="46"/>
    <x v="0"/>
    <x v="1"/>
    <x v="0"/>
    <x v="8"/>
    <x v="1"/>
    <s v="Mountain-200 Black, 42"/>
    <n v="1"/>
    <n v="713"/>
    <n v="1120"/>
    <n v="1120"/>
    <n v="713"/>
    <n v="407"/>
    <s v="black"/>
    <x v="2"/>
  </r>
  <r>
    <d v="2021-11-09T00:00:00"/>
    <n v="9"/>
    <x v="1"/>
    <n v="2021"/>
    <n v="33"/>
    <x v="1"/>
    <x v="0"/>
    <x v="5"/>
    <x v="9"/>
    <x v="0"/>
    <s v="Road-550-W Yellow, 42"/>
    <n v="4"/>
    <n v="713"/>
    <n v="1120"/>
    <n v="4480"/>
    <n v="2852"/>
    <n v="1628"/>
    <s v="yellow"/>
    <x v="0"/>
  </r>
  <r>
    <d v="2021-11-09T00:00:00"/>
    <n v="9"/>
    <x v="1"/>
    <n v="2021"/>
    <n v="63"/>
    <x v="0"/>
    <x v="0"/>
    <x v="0"/>
    <x v="0"/>
    <x v="0"/>
    <s v="Road-250 Black, 44"/>
    <n v="4"/>
    <n v="713"/>
    <n v="1120"/>
    <n v="4480"/>
    <n v="2852"/>
    <n v="1628"/>
    <s v="black"/>
    <x v="4"/>
  </r>
  <r>
    <d v="2021-11-09T00:00:00"/>
    <n v="9"/>
    <x v="1"/>
    <n v="2021"/>
    <n v="25"/>
    <x v="1"/>
    <x v="1"/>
    <x v="3"/>
    <x v="7"/>
    <x v="0"/>
    <s v="Road-550-W Yellow, 38"/>
    <n v="3"/>
    <n v="713"/>
    <n v="1120"/>
    <n v="3360"/>
    <n v="2139"/>
    <n v="1221"/>
    <s v="yellow"/>
    <x v="0"/>
  </r>
  <r>
    <d v="2021-11-09T00:00:00"/>
    <n v="9"/>
    <x v="1"/>
    <n v="2021"/>
    <n v="41"/>
    <x v="0"/>
    <x v="0"/>
    <x v="4"/>
    <x v="6"/>
    <x v="1"/>
    <s v="Mountain-200 Silver, 42"/>
    <n v="3"/>
    <n v="713"/>
    <n v="1120"/>
    <n v="3360"/>
    <n v="2139"/>
    <n v="1221"/>
    <s v="silver"/>
    <x v="3"/>
  </r>
  <r>
    <d v="2021-11-10T00:00:00"/>
    <n v="10"/>
    <x v="1"/>
    <n v="2021"/>
    <n v="39"/>
    <x v="0"/>
    <x v="0"/>
    <x v="2"/>
    <x v="2"/>
    <x v="0"/>
    <s v="Road-750 Black, 48"/>
    <n v="3"/>
    <n v="713"/>
    <n v="1120"/>
    <n v="3360"/>
    <n v="2139"/>
    <n v="1221"/>
    <s v="black"/>
    <x v="4"/>
  </r>
  <r>
    <d v="2021-11-10T00:00:00"/>
    <n v="10"/>
    <x v="1"/>
    <n v="2021"/>
    <n v="52"/>
    <x v="0"/>
    <x v="1"/>
    <x v="2"/>
    <x v="2"/>
    <x v="1"/>
    <s v="Mountain-200 Black, 42"/>
    <n v="3"/>
    <n v="713"/>
    <n v="1120"/>
    <n v="3360"/>
    <n v="2139"/>
    <n v="1221"/>
    <s v="black"/>
    <x v="2"/>
  </r>
  <r>
    <d v="2021-11-10T00:00:00"/>
    <n v="10"/>
    <x v="1"/>
    <n v="2021"/>
    <n v="20"/>
    <x v="2"/>
    <x v="1"/>
    <x v="3"/>
    <x v="7"/>
    <x v="0"/>
    <s v="Road-750 Black, 44"/>
    <n v="1"/>
    <n v="713"/>
    <n v="1120"/>
    <n v="1120"/>
    <n v="713"/>
    <n v="407"/>
    <s v="black"/>
    <x v="4"/>
  </r>
  <r>
    <d v="2021-11-10T00:00:00"/>
    <n v="10"/>
    <x v="1"/>
    <n v="2021"/>
    <n v="21"/>
    <x v="2"/>
    <x v="1"/>
    <x v="3"/>
    <x v="5"/>
    <x v="0"/>
    <s v="Road-250 Black, 58"/>
    <n v="1"/>
    <n v="713"/>
    <n v="1120"/>
    <n v="1120"/>
    <n v="713"/>
    <n v="407"/>
    <s v="black"/>
    <x v="4"/>
  </r>
  <r>
    <d v="2021-11-10T00:00:00"/>
    <n v="10"/>
    <x v="1"/>
    <n v="2021"/>
    <n v="25"/>
    <x v="1"/>
    <x v="0"/>
    <x v="4"/>
    <x v="6"/>
    <x v="0"/>
    <s v="Road-250 Black, 58"/>
    <n v="1"/>
    <n v="713"/>
    <n v="1120"/>
    <n v="1120"/>
    <n v="713"/>
    <n v="407"/>
    <s v="black"/>
    <x v="4"/>
  </r>
  <r>
    <d v="2021-11-10T00:00:00"/>
    <n v="10"/>
    <x v="1"/>
    <n v="2021"/>
    <n v="34"/>
    <x v="1"/>
    <x v="1"/>
    <x v="4"/>
    <x v="11"/>
    <x v="1"/>
    <s v="Mountain-400-W Silver, 42"/>
    <n v="1"/>
    <n v="713"/>
    <n v="1120"/>
    <n v="1120"/>
    <n v="713"/>
    <n v="407"/>
    <s v="silver"/>
    <x v="3"/>
  </r>
  <r>
    <d v="2021-11-10T00:00:00"/>
    <n v="10"/>
    <x v="1"/>
    <n v="2021"/>
    <n v="50"/>
    <x v="0"/>
    <x v="0"/>
    <x v="0"/>
    <x v="8"/>
    <x v="1"/>
    <s v="Mountain-200 Black, 46"/>
    <n v="1"/>
    <n v="713"/>
    <n v="1120"/>
    <n v="1120"/>
    <n v="713"/>
    <n v="407"/>
    <s v="black"/>
    <x v="2"/>
  </r>
  <r>
    <d v="2021-11-11T00:00:00"/>
    <n v="11"/>
    <x v="1"/>
    <n v="2021"/>
    <n v="17"/>
    <x v="2"/>
    <x v="1"/>
    <x v="3"/>
    <x v="3"/>
    <x v="0"/>
    <s v="Road-650 Red, 58"/>
    <n v="4"/>
    <n v="713"/>
    <n v="1120"/>
    <n v="4480"/>
    <n v="2852"/>
    <n v="1628"/>
    <s v="red"/>
    <x v="1"/>
  </r>
  <r>
    <d v="2021-11-11T00:00:00"/>
    <n v="11"/>
    <x v="1"/>
    <n v="2021"/>
    <n v="34"/>
    <x v="1"/>
    <x v="0"/>
    <x v="4"/>
    <x v="6"/>
    <x v="0"/>
    <s v="Road-350-W Yellow, 40"/>
    <n v="4"/>
    <n v="713"/>
    <n v="1120"/>
    <n v="4480"/>
    <n v="2852"/>
    <n v="1628"/>
    <s v="yellow"/>
    <x v="0"/>
  </r>
  <r>
    <d v="2021-11-11T00:00:00"/>
    <n v="11"/>
    <x v="1"/>
    <n v="2021"/>
    <n v="18"/>
    <x v="2"/>
    <x v="1"/>
    <x v="3"/>
    <x v="7"/>
    <x v="0"/>
    <s v="Road-750 Black, 52"/>
    <n v="3"/>
    <n v="713"/>
    <n v="1120"/>
    <n v="3360"/>
    <n v="2139"/>
    <n v="1221"/>
    <s v="black"/>
    <x v="4"/>
  </r>
  <r>
    <d v="2021-11-11T00:00:00"/>
    <n v="11"/>
    <x v="1"/>
    <n v="2021"/>
    <n v="22"/>
    <x v="2"/>
    <x v="1"/>
    <x v="3"/>
    <x v="5"/>
    <x v="0"/>
    <s v="Road-150 Red, 48"/>
    <n v="3"/>
    <n v="713"/>
    <n v="1120"/>
    <n v="3360"/>
    <n v="2139"/>
    <n v="1221"/>
    <s v="red"/>
    <x v="1"/>
  </r>
  <r>
    <d v="2021-11-11T00:00:00"/>
    <n v="11"/>
    <x v="1"/>
    <n v="2021"/>
    <n v="30"/>
    <x v="1"/>
    <x v="0"/>
    <x v="0"/>
    <x v="0"/>
    <x v="1"/>
    <s v="Mountain-500 Black, 48"/>
    <n v="3"/>
    <n v="713"/>
    <n v="1120"/>
    <n v="3360"/>
    <n v="2139"/>
    <n v="1221"/>
    <s v="black"/>
    <x v="2"/>
  </r>
  <r>
    <d v="2021-11-11T00:00:00"/>
    <n v="11"/>
    <x v="1"/>
    <n v="2021"/>
    <n v="39"/>
    <x v="0"/>
    <x v="1"/>
    <x v="5"/>
    <x v="23"/>
    <x v="0"/>
    <s v="Road-550-W Yellow, 40"/>
    <n v="3"/>
    <n v="713"/>
    <n v="1120"/>
    <n v="3360"/>
    <n v="2139"/>
    <n v="1221"/>
    <s v="yellow"/>
    <x v="0"/>
  </r>
  <r>
    <d v="2021-11-11T00:00:00"/>
    <n v="11"/>
    <x v="1"/>
    <n v="2021"/>
    <n v="22"/>
    <x v="2"/>
    <x v="0"/>
    <x v="0"/>
    <x v="0"/>
    <x v="1"/>
    <s v="Mountain-200 Silver, 46"/>
    <n v="2"/>
    <n v="713"/>
    <n v="1120"/>
    <n v="2240"/>
    <n v="1426"/>
    <n v="814"/>
    <s v="silver"/>
    <x v="3"/>
  </r>
  <r>
    <d v="2021-11-11T00:00:00"/>
    <n v="11"/>
    <x v="1"/>
    <n v="2021"/>
    <n v="18"/>
    <x v="2"/>
    <x v="0"/>
    <x v="3"/>
    <x v="5"/>
    <x v="0"/>
    <s v="Road-750 Black, 58"/>
    <n v="1"/>
    <n v="713"/>
    <n v="1120"/>
    <n v="1120"/>
    <n v="713"/>
    <n v="407"/>
    <s v="black"/>
    <x v="4"/>
  </r>
  <r>
    <d v="2021-11-11T00:00:00"/>
    <n v="11"/>
    <x v="1"/>
    <n v="2021"/>
    <n v="22"/>
    <x v="2"/>
    <x v="0"/>
    <x v="4"/>
    <x v="12"/>
    <x v="1"/>
    <s v="Mountain-200 Black, 38"/>
    <n v="1"/>
    <n v="713"/>
    <n v="1120"/>
    <n v="1120"/>
    <n v="713"/>
    <n v="407"/>
    <s v="black"/>
    <x v="2"/>
  </r>
  <r>
    <d v="2021-11-11T00:00:00"/>
    <n v="11"/>
    <x v="1"/>
    <n v="2021"/>
    <n v="24"/>
    <x v="2"/>
    <x v="0"/>
    <x v="3"/>
    <x v="3"/>
    <x v="0"/>
    <s v="Road-550-W Yellow, 42"/>
    <n v="1"/>
    <n v="713"/>
    <n v="1120"/>
    <n v="1120"/>
    <n v="713"/>
    <n v="407"/>
    <s v="yellow"/>
    <x v="0"/>
  </r>
  <r>
    <d v="2021-11-11T00:00:00"/>
    <n v="11"/>
    <x v="1"/>
    <n v="2021"/>
    <n v="39"/>
    <x v="0"/>
    <x v="1"/>
    <x v="2"/>
    <x v="2"/>
    <x v="0"/>
    <s v="Road-150 Red, 44"/>
    <n v="1"/>
    <n v="713"/>
    <n v="1120"/>
    <n v="1120"/>
    <n v="713"/>
    <n v="407"/>
    <s v="red"/>
    <x v="1"/>
  </r>
  <r>
    <d v="2021-11-12T00:00:00"/>
    <n v="12"/>
    <x v="1"/>
    <n v="2021"/>
    <n v="24"/>
    <x v="2"/>
    <x v="0"/>
    <x v="3"/>
    <x v="5"/>
    <x v="0"/>
    <s v="Road-250 Black, 52"/>
    <n v="4"/>
    <n v="713"/>
    <n v="1120"/>
    <n v="4480"/>
    <n v="2852"/>
    <n v="1628"/>
    <s v="black"/>
    <x v="4"/>
  </r>
  <r>
    <d v="2021-11-12T00:00:00"/>
    <n v="12"/>
    <x v="1"/>
    <n v="2021"/>
    <n v="24"/>
    <x v="2"/>
    <x v="0"/>
    <x v="3"/>
    <x v="3"/>
    <x v="0"/>
    <s v="Road-550-W Yellow, 42"/>
    <n v="4"/>
    <n v="713"/>
    <n v="1120"/>
    <n v="4480"/>
    <n v="2852"/>
    <n v="1628"/>
    <s v="yellow"/>
    <x v="0"/>
  </r>
  <r>
    <d v="2021-11-12T00:00:00"/>
    <n v="12"/>
    <x v="1"/>
    <n v="2021"/>
    <n v="22"/>
    <x v="2"/>
    <x v="1"/>
    <x v="5"/>
    <x v="10"/>
    <x v="0"/>
    <s v="Road-350-W Yellow, 48"/>
    <n v="2"/>
    <n v="713"/>
    <n v="1120"/>
    <n v="2240"/>
    <n v="1426"/>
    <n v="814"/>
    <s v="yellow"/>
    <x v="0"/>
  </r>
  <r>
    <d v="2021-11-12T00:00:00"/>
    <n v="12"/>
    <x v="1"/>
    <n v="2021"/>
    <n v="31"/>
    <x v="1"/>
    <x v="1"/>
    <x v="2"/>
    <x v="2"/>
    <x v="0"/>
    <s v="Road-350-W Yellow, 40"/>
    <n v="1"/>
    <n v="713"/>
    <n v="1120"/>
    <n v="1120"/>
    <n v="713"/>
    <n v="407"/>
    <s v="yellow"/>
    <x v="0"/>
  </r>
  <r>
    <d v="2021-11-12T00:00:00"/>
    <n v="12"/>
    <x v="1"/>
    <n v="2021"/>
    <n v="39"/>
    <x v="0"/>
    <x v="0"/>
    <x v="2"/>
    <x v="2"/>
    <x v="0"/>
    <s v="Road-750 Black, 48"/>
    <n v="1"/>
    <n v="713"/>
    <n v="1120"/>
    <n v="1120"/>
    <n v="713"/>
    <n v="407"/>
    <s v="black"/>
    <x v="4"/>
  </r>
  <r>
    <d v="2021-11-12T00:00:00"/>
    <n v="12"/>
    <x v="1"/>
    <n v="2021"/>
    <n v="44"/>
    <x v="0"/>
    <x v="0"/>
    <x v="0"/>
    <x v="17"/>
    <x v="0"/>
    <s v="Road-750 Black, 44"/>
    <n v="1"/>
    <n v="713"/>
    <n v="1120"/>
    <n v="1120"/>
    <n v="713"/>
    <n v="407"/>
    <s v="black"/>
    <x v="4"/>
  </r>
  <r>
    <d v="2021-11-13T00:00:00"/>
    <n v="13"/>
    <x v="1"/>
    <n v="2021"/>
    <n v="28"/>
    <x v="1"/>
    <x v="1"/>
    <x v="3"/>
    <x v="16"/>
    <x v="0"/>
    <s v="Road-250 Black, 52"/>
    <n v="4"/>
    <n v="713"/>
    <n v="1120"/>
    <n v="4480"/>
    <n v="2852"/>
    <n v="1628"/>
    <s v="black"/>
    <x v="4"/>
  </r>
  <r>
    <d v="2021-11-13T00:00:00"/>
    <n v="13"/>
    <x v="1"/>
    <n v="2021"/>
    <n v="24"/>
    <x v="2"/>
    <x v="1"/>
    <x v="4"/>
    <x v="18"/>
    <x v="0"/>
    <s v="Road-550-W Yellow, 42"/>
    <n v="1"/>
    <n v="713"/>
    <n v="1120"/>
    <n v="1120"/>
    <n v="713"/>
    <n v="407"/>
    <s v="yellow"/>
    <x v="0"/>
  </r>
  <r>
    <d v="2021-11-13T00:00:00"/>
    <n v="13"/>
    <x v="1"/>
    <n v="2021"/>
    <n v="29"/>
    <x v="1"/>
    <x v="0"/>
    <x v="0"/>
    <x v="0"/>
    <x v="1"/>
    <s v="Mountain-200 Silver, 42"/>
    <n v="1"/>
    <n v="713"/>
    <n v="1120"/>
    <n v="1120"/>
    <n v="713"/>
    <n v="407"/>
    <s v="silver"/>
    <x v="3"/>
  </r>
  <r>
    <d v="2021-11-13T00:00:00"/>
    <n v="13"/>
    <x v="1"/>
    <n v="2021"/>
    <n v="60"/>
    <x v="0"/>
    <x v="1"/>
    <x v="0"/>
    <x v="0"/>
    <x v="0"/>
    <s v="Road-150 Red, 48"/>
    <n v="1"/>
    <n v="713"/>
    <n v="1120"/>
    <n v="1120"/>
    <n v="713"/>
    <n v="407"/>
    <s v="red"/>
    <x v="1"/>
  </r>
  <r>
    <d v="2021-11-14T00:00:00"/>
    <n v="14"/>
    <x v="1"/>
    <n v="2021"/>
    <n v="19"/>
    <x v="2"/>
    <x v="0"/>
    <x v="4"/>
    <x v="11"/>
    <x v="0"/>
    <s v="Road-250 Black, 58"/>
    <n v="3"/>
    <n v="713"/>
    <n v="1120"/>
    <n v="3360"/>
    <n v="2139"/>
    <n v="1221"/>
    <s v="black"/>
    <x v="4"/>
  </r>
  <r>
    <d v="2021-11-14T00:00:00"/>
    <n v="14"/>
    <x v="1"/>
    <n v="2021"/>
    <n v="23"/>
    <x v="2"/>
    <x v="0"/>
    <x v="0"/>
    <x v="8"/>
    <x v="0"/>
    <s v="Road-150 Red, 48"/>
    <n v="3"/>
    <n v="713"/>
    <n v="1120"/>
    <n v="3360"/>
    <n v="2139"/>
    <n v="1221"/>
    <s v="red"/>
    <x v="1"/>
  </r>
  <r>
    <d v="2021-11-14T00:00:00"/>
    <n v="14"/>
    <x v="1"/>
    <n v="2021"/>
    <n v="22"/>
    <x v="2"/>
    <x v="0"/>
    <x v="4"/>
    <x v="11"/>
    <x v="1"/>
    <s v="Mountain-200 Black, 38"/>
    <n v="2"/>
    <n v="713"/>
    <n v="1120"/>
    <n v="2240"/>
    <n v="1426"/>
    <n v="814"/>
    <s v="black"/>
    <x v="2"/>
  </r>
  <r>
    <d v="2021-11-14T00:00:00"/>
    <n v="14"/>
    <x v="1"/>
    <n v="2021"/>
    <n v="56"/>
    <x v="0"/>
    <x v="1"/>
    <x v="0"/>
    <x v="8"/>
    <x v="0"/>
    <s v="Road-250 Red, 52"/>
    <n v="1"/>
    <n v="713"/>
    <n v="1120"/>
    <n v="1120"/>
    <n v="713"/>
    <n v="407"/>
    <s v="red"/>
    <x v="1"/>
  </r>
  <r>
    <d v="2021-11-14T00:00:00"/>
    <n v="14"/>
    <x v="1"/>
    <n v="2021"/>
    <n v="56"/>
    <x v="0"/>
    <x v="1"/>
    <x v="0"/>
    <x v="8"/>
    <x v="0"/>
    <s v="Road-250 Red, 52"/>
    <n v="1"/>
    <n v="713"/>
    <n v="1120"/>
    <n v="1120"/>
    <n v="713"/>
    <n v="407"/>
    <s v="red"/>
    <x v="1"/>
  </r>
  <r>
    <d v="2021-11-15T00:00:00"/>
    <n v="15"/>
    <x v="1"/>
    <n v="2021"/>
    <n v="19"/>
    <x v="2"/>
    <x v="0"/>
    <x v="0"/>
    <x v="0"/>
    <x v="1"/>
    <s v="Mountain-200 Black, 46"/>
    <n v="1"/>
    <n v="713"/>
    <n v="1120"/>
    <n v="1120"/>
    <n v="713"/>
    <n v="407"/>
    <s v="black"/>
    <x v="2"/>
  </r>
  <r>
    <d v="2021-11-15T00:00:00"/>
    <n v="15"/>
    <x v="1"/>
    <n v="2021"/>
    <n v="34"/>
    <x v="1"/>
    <x v="0"/>
    <x v="0"/>
    <x v="0"/>
    <x v="0"/>
    <s v="Road-250 Black, 52"/>
    <n v="1"/>
    <n v="713"/>
    <n v="1120"/>
    <n v="1120"/>
    <n v="713"/>
    <n v="407"/>
    <s v="black"/>
    <x v="4"/>
  </r>
  <r>
    <d v="2021-11-15T00:00:00"/>
    <n v="15"/>
    <x v="1"/>
    <n v="2021"/>
    <n v="40"/>
    <x v="0"/>
    <x v="1"/>
    <x v="2"/>
    <x v="2"/>
    <x v="0"/>
    <s v="Road-750 Black, 44"/>
    <n v="1"/>
    <n v="713"/>
    <n v="1120"/>
    <n v="1120"/>
    <n v="713"/>
    <n v="407"/>
    <s v="black"/>
    <x v="4"/>
  </r>
  <r>
    <d v="2021-11-16T00:00:00"/>
    <n v="16"/>
    <x v="1"/>
    <n v="2021"/>
    <n v="25"/>
    <x v="1"/>
    <x v="1"/>
    <x v="3"/>
    <x v="3"/>
    <x v="0"/>
    <s v="Road-550-W Yellow, 40"/>
    <n v="3"/>
    <n v="713"/>
    <n v="1120"/>
    <n v="3360"/>
    <n v="2139"/>
    <n v="1221"/>
    <s v="yellow"/>
    <x v="0"/>
  </r>
  <r>
    <d v="2021-11-16T00:00:00"/>
    <n v="16"/>
    <x v="1"/>
    <n v="2021"/>
    <n v="40"/>
    <x v="0"/>
    <x v="0"/>
    <x v="4"/>
    <x v="6"/>
    <x v="1"/>
    <s v="Mountain-200 Black, 38"/>
    <n v="3"/>
    <n v="713"/>
    <n v="1120"/>
    <n v="3360"/>
    <n v="2139"/>
    <n v="1221"/>
    <s v="black"/>
    <x v="2"/>
  </r>
  <r>
    <d v="2021-11-16T00:00:00"/>
    <n v="16"/>
    <x v="1"/>
    <n v="2021"/>
    <n v="20"/>
    <x v="2"/>
    <x v="0"/>
    <x v="4"/>
    <x v="12"/>
    <x v="0"/>
    <s v="Road-350-W Yellow, 48"/>
    <n v="2"/>
    <n v="713"/>
    <n v="1120"/>
    <n v="2240"/>
    <n v="1426"/>
    <n v="814"/>
    <s v="yellow"/>
    <x v="0"/>
  </r>
  <r>
    <d v="2021-11-16T00:00:00"/>
    <n v="16"/>
    <x v="1"/>
    <n v="2021"/>
    <n v="20"/>
    <x v="2"/>
    <x v="1"/>
    <x v="3"/>
    <x v="3"/>
    <x v="0"/>
    <s v="Road-750 Black, 44"/>
    <n v="1"/>
    <n v="713"/>
    <n v="1120"/>
    <n v="1120"/>
    <n v="713"/>
    <n v="407"/>
    <s v="black"/>
    <x v="4"/>
  </r>
  <r>
    <d v="2021-11-16T00:00:00"/>
    <n v="16"/>
    <x v="1"/>
    <n v="2021"/>
    <n v="23"/>
    <x v="2"/>
    <x v="1"/>
    <x v="0"/>
    <x v="17"/>
    <x v="0"/>
    <s v="Road-350-W Yellow, 42"/>
    <n v="1"/>
    <n v="713"/>
    <n v="1120"/>
    <n v="1120"/>
    <n v="713"/>
    <n v="407"/>
    <s v="yellow"/>
    <x v="0"/>
  </r>
  <r>
    <d v="2021-11-16T00:00:00"/>
    <n v="16"/>
    <x v="1"/>
    <n v="2021"/>
    <n v="25"/>
    <x v="1"/>
    <x v="1"/>
    <x v="5"/>
    <x v="23"/>
    <x v="0"/>
    <s v="Road-550-W Yellow, 44"/>
    <n v="1"/>
    <n v="713"/>
    <n v="1120"/>
    <n v="1120"/>
    <n v="713"/>
    <n v="407"/>
    <s v="yellow"/>
    <x v="0"/>
  </r>
  <r>
    <d v="2021-11-16T00:00:00"/>
    <n v="16"/>
    <x v="1"/>
    <n v="2021"/>
    <n v="33"/>
    <x v="1"/>
    <x v="0"/>
    <x v="0"/>
    <x v="0"/>
    <x v="1"/>
    <s v="Mountain-200 Black, 42"/>
    <n v="1"/>
    <n v="713"/>
    <n v="1120"/>
    <n v="1120"/>
    <n v="713"/>
    <n v="407"/>
    <s v="black"/>
    <x v="2"/>
  </r>
  <r>
    <d v="2021-11-16T00:00:00"/>
    <n v="16"/>
    <x v="1"/>
    <n v="2021"/>
    <n v="41"/>
    <x v="0"/>
    <x v="1"/>
    <x v="2"/>
    <x v="2"/>
    <x v="0"/>
    <s v="Road-250 Red, 48"/>
    <n v="1"/>
    <n v="713"/>
    <n v="1120"/>
    <n v="1120"/>
    <n v="713"/>
    <n v="407"/>
    <s v="red"/>
    <x v="1"/>
  </r>
  <r>
    <d v="2021-11-17T00:00:00"/>
    <n v="17"/>
    <x v="1"/>
    <n v="2021"/>
    <n v="26"/>
    <x v="1"/>
    <x v="0"/>
    <x v="3"/>
    <x v="3"/>
    <x v="0"/>
    <s v="Road-750 Black, 52"/>
    <n v="2"/>
    <n v="713"/>
    <n v="1120"/>
    <n v="2240"/>
    <n v="1426"/>
    <n v="814"/>
    <s v="black"/>
    <x v="4"/>
  </r>
  <r>
    <d v="2021-11-17T00:00:00"/>
    <n v="17"/>
    <x v="1"/>
    <n v="2021"/>
    <n v="28"/>
    <x v="1"/>
    <x v="1"/>
    <x v="2"/>
    <x v="2"/>
    <x v="0"/>
    <s v="Road-150 Red, 62"/>
    <n v="2"/>
    <n v="713"/>
    <n v="1120"/>
    <n v="2240"/>
    <n v="1426"/>
    <n v="814"/>
    <s v="red"/>
    <x v="1"/>
  </r>
  <r>
    <d v="2021-11-17T00:00:00"/>
    <n v="17"/>
    <x v="1"/>
    <n v="2021"/>
    <n v="21"/>
    <x v="2"/>
    <x v="0"/>
    <x v="3"/>
    <x v="5"/>
    <x v="0"/>
    <s v="Road-250 Black, 58"/>
    <n v="1"/>
    <n v="713"/>
    <n v="1120"/>
    <n v="1120"/>
    <n v="713"/>
    <n v="407"/>
    <s v="black"/>
    <x v="4"/>
  </r>
  <r>
    <d v="2021-11-17T00:00:00"/>
    <n v="17"/>
    <x v="1"/>
    <n v="2021"/>
    <n v="28"/>
    <x v="1"/>
    <x v="1"/>
    <x v="2"/>
    <x v="2"/>
    <x v="1"/>
    <s v="Mountain-200 Black, 38"/>
    <n v="1"/>
    <n v="713"/>
    <n v="1120"/>
    <n v="1120"/>
    <n v="713"/>
    <n v="407"/>
    <s v="black"/>
    <x v="2"/>
  </r>
  <r>
    <d v="2021-11-17T00:00:00"/>
    <n v="17"/>
    <x v="1"/>
    <n v="2021"/>
    <n v="34"/>
    <x v="1"/>
    <x v="0"/>
    <x v="4"/>
    <x v="18"/>
    <x v="0"/>
    <s v="Road-750 Black, 48"/>
    <n v="1"/>
    <n v="713"/>
    <n v="1120"/>
    <n v="1120"/>
    <n v="713"/>
    <n v="407"/>
    <s v="black"/>
    <x v="4"/>
  </r>
  <r>
    <d v="2021-11-17T00:00:00"/>
    <n v="17"/>
    <x v="1"/>
    <n v="2021"/>
    <n v="41"/>
    <x v="0"/>
    <x v="1"/>
    <x v="0"/>
    <x v="8"/>
    <x v="0"/>
    <s v="Road-150 Red, 48"/>
    <n v="1"/>
    <n v="713"/>
    <n v="1120"/>
    <n v="1120"/>
    <n v="713"/>
    <n v="407"/>
    <s v="red"/>
    <x v="1"/>
  </r>
  <r>
    <d v="2021-11-18T00:00:00"/>
    <n v="18"/>
    <x v="1"/>
    <n v="2021"/>
    <n v="17"/>
    <x v="2"/>
    <x v="1"/>
    <x v="3"/>
    <x v="5"/>
    <x v="0"/>
    <s v="Road-650 Red, 48"/>
    <n v="2"/>
    <n v="713"/>
    <n v="1120"/>
    <n v="2240"/>
    <n v="1426"/>
    <n v="814"/>
    <s v="red"/>
    <x v="1"/>
  </r>
  <r>
    <d v="2021-11-18T00:00:00"/>
    <n v="18"/>
    <x v="1"/>
    <n v="2021"/>
    <n v="17"/>
    <x v="2"/>
    <x v="1"/>
    <x v="3"/>
    <x v="3"/>
    <x v="0"/>
    <s v="Road-650 Red, 58"/>
    <n v="1"/>
    <n v="713"/>
    <n v="1120"/>
    <n v="1120"/>
    <n v="713"/>
    <n v="407"/>
    <s v="red"/>
    <x v="1"/>
  </r>
  <r>
    <d v="2021-11-18T00:00:00"/>
    <n v="18"/>
    <x v="1"/>
    <n v="2021"/>
    <n v="22"/>
    <x v="2"/>
    <x v="1"/>
    <x v="3"/>
    <x v="7"/>
    <x v="0"/>
    <s v="Road-650 Black, 44"/>
    <n v="1"/>
    <n v="713"/>
    <n v="1120"/>
    <n v="1120"/>
    <n v="713"/>
    <n v="407"/>
    <s v="black"/>
    <x v="4"/>
  </r>
  <r>
    <d v="2021-11-18T00:00:00"/>
    <n v="18"/>
    <x v="1"/>
    <n v="2021"/>
    <n v="23"/>
    <x v="2"/>
    <x v="0"/>
    <x v="0"/>
    <x v="0"/>
    <x v="0"/>
    <s v="Road-550-W Yellow, 42"/>
    <n v="1"/>
    <n v="713"/>
    <n v="1120"/>
    <n v="1120"/>
    <n v="713"/>
    <n v="407"/>
    <s v="yellow"/>
    <x v="0"/>
  </r>
  <r>
    <d v="2021-11-18T00:00:00"/>
    <n v="18"/>
    <x v="1"/>
    <n v="2021"/>
    <n v="25"/>
    <x v="1"/>
    <x v="1"/>
    <x v="3"/>
    <x v="7"/>
    <x v="0"/>
    <s v="Road-550-W Yellow, 38"/>
    <n v="1"/>
    <n v="713"/>
    <n v="1120"/>
    <n v="1120"/>
    <n v="713"/>
    <n v="407"/>
    <s v="yellow"/>
    <x v="0"/>
  </r>
  <r>
    <d v="2021-11-18T00:00:00"/>
    <n v="18"/>
    <x v="1"/>
    <n v="2021"/>
    <n v="27"/>
    <x v="1"/>
    <x v="1"/>
    <x v="5"/>
    <x v="23"/>
    <x v="0"/>
    <s v="Road-550-W Yellow, 38"/>
    <n v="1"/>
    <n v="713"/>
    <n v="1120"/>
    <n v="1120"/>
    <n v="713"/>
    <n v="407"/>
    <s v="yellow"/>
    <x v="0"/>
  </r>
  <r>
    <d v="2021-11-18T00:00:00"/>
    <n v="18"/>
    <x v="1"/>
    <n v="2021"/>
    <n v="49"/>
    <x v="0"/>
    <x v="0"/>
    <x v="0"/>
    <x v="0"/>
    <x v="1"/>
    <s v="Mountain-200 Black, 46"/>
    <n v="1"/>
    <n v="713"/>
    <n v="1120"/>
    <n v="1120"/>
    <n v="713"/>
    <n v="407"/>
    <s v="black"/>
    <x v="2"/>
  </r>
  <r>
    <d v="2021-11-19T00:00:00"/>
    <n v="19"/>
    <x v="1"/>
    <n v="2021"/>
    <n v="33"/>
    <x v="1"/>
    <x v="1"/>
    <x v="0"/>
    <x v="0"/>
    <x v="1"/>
    <s v="Mountain-200 Silver, 42"/>
    <n v="4"/>
    <n v="713"/>
    <n v="1120"/>
    <n v="4480"/>
    <n v="2852"/>
    <n v="1628"/>
    <s v="silver"/>
    <x v="3"/>
  </r>
  <r>
    <d v="2021-11-19T00:00:00"/>
    <n v="19"/>
    <x v="1"/>
    <n v="2021"/>
    <n v="30"/>
    <x v="1"/>
    <x v="1"/>
    <x v="0"/>
    <x v="8"/>
    <x v="1"/>
    <s v="Mountain-200 Silver, 38"/>
    <n v="2"/>
    <n v="713"/>
    <n v="1120"/>
    <n v="2240"/>
    <n v="1426"/>
    <n v="814"/>
    <s v="silver"/>
    <x v="3"/>
  </r>
  <r>
    <d v="2021-11-19T00:00:00"/>
    <n v="19"/>
    <x v="1"/>
    <n v="2021"/>
    <n v="44"/>
    <x v="0"/>
    <x v="0"/>
    <x v="4"/>
    <x v="18"/>
    <x v="0"/>
    <s v="Road-650 Red, 60"/>
    <n v="1"/>
    <n v="713"/>
    <n v="1120"/>
    <n v="1120"/>
    <n v="713"/>
    <n v="407"/>
    <s v="red"/>
    <x v="1"/>
  </r>
  <r>
    <d v="2021-11-19T00:00:00"/>
    <n v="19"/>
    <x v="1"/>
    <n v="2021"/>
    <n v="45"/>
    <x v="0"/>
    <x v="1"/>
    <x v="2"/>
    <x v="2"/>
    <x v="0"/>
    <s v="Road-650 Black, 60"/>
    <n v="1"/>
    <n v="713"/>
    <n v="1120"/>
    <n v="1120"/>
    <n v="713"/>
    <n v="407"/>
    <s v="black"/>
    <x v="4"/>
  </r>
  <r>
    <d v="2021-11-20T00:00:00"/>
    <n v="20"/>
    <x v="1"/>
    <n v="2021"/>
    <n v="40"/>
    <x v="0"/>
    <x v="0"/>
    <x v="4"/>
    <x v="15"/>
    <x v="1"/>
    <s v="Mountain-200 Silver, 42"/>
    <n v="4"/>
    <n v="713"/>
    <n v="1120"/>
    <n v="4480"/>
    <n v="2852"/>
    <n v="1628"/>
    <s v="silver"/>
    <x v="3"/>
  </r>
  <r>
    <d v="2021-11-20T00:00:00"/>
    <n v="20"/>
    <x v="1"/>
    <n v="2021"/>
    <n v="40"/>
    <x v="0"/>
    <x v="0"/>
    <x v="3"/>
    <x v="3"/>
    <x v="0"/>
    <s v="Road-350-W Yellow, 40"/>
    <n v="4"/>
    <n v="713"/>
    <n v="1120"/>
    <n v="4480"/>
    <n v="2852"/>
    <n v="1628"/>
    <s v="yellow"/>
    <x v="0"/>
  </r>
  <r>
    <d v="2021-11-20T00:00:00"/>
    <n v="20"/>
    <x v="1"/>
    <n v="2021"/>
    <n v="41"/>
    <x v="0"/>
    <x v="1"/>
    <x v="0"/>
    <x v="8"/>
    <x v="0"/>
    <s v="Road-150 Red, 48"/>
    <n v="3"/>
    <n v="713"/>
    <n v="1120"/>
    <n v="3360"/>
    <n v="2139"/>
    <n v="1221"/>
    <s v="red"/>
    <x v="1"/>
  </r>
  <r>
    <d v="2021-11-20T00:00:00"/>
    <n v="20"/>
    <x v="1"/>
    <n v="2021"/>
    <n v="48"/>
    <x v="0"/>
    <x v="1"/>
    <x v="0"/>
    <x v="8"/>
    <x v="1"/>
    <s v="Mountain-200 Silver, 46"/>
    <n v="3"/>
    <n v="713"/>
    <n v="1120"/>
    <n v="3360"/>
    <n v="2139"/>
    <n v="1221"/>
    <s v="silver"/>
    <x v="3"/>
  </r>
  <r>
    <d v="2021-11-20T00:00:00"/>
    <n v="20"/>
    <x v="1"/>
    <n v="2021"/>
    <n v="38"/>
    <x v="0"/>
    <x v="0"/>
    <x v="3"/>
    <x v="3"/>
    <x v="1"/>
    <s v="Mountain-200 Black, 38"/>
    <n v="2"/>
    <n v="713"/>
    <n v="1120"/>
    <n v="2240"/>
    <n v="1426"/>
    <n v="814"/>
    <s v="black"/>
    <x v="2"/>
  </r>
  <r>
    <d v="2021-11-20T00:00:00"/>
    <n v="20"/>
    <x v="1"/>
    <n v="2021"/>
    <n v="18"/>
    <x v="2"/>
    <x v="0"/>
    <x v="3"/>
    <x v="5"/>
    <x v="0"/>
    <s v="Road-750 Black, 58"/>
    <n v="1"/>
    <n v="713"/>
    <n v="1120"/>
    <n v="1120"/>
    <n v="713"/>
    <n v="407"/>
    <s v="black"/>
    <x v="4"/>
  </r>
  <r>
    <d v="2021-11-20T00:00:00"/>
    <n v="20"/>
    <x v="1"/>
    <n v="2021"/>
    <n v="27"/>
    <x v="1"/>
    <x v="1"/>
    <x v="3"/>
    <x v="3"/>
    <x v="0"/>
    <s v="Road-250 Black, 44"/>
    <n v="1"/>
    <n v="713"/>
    <n v="1120"/>
    <n v="1120"/>
    <n v="713"/>
    <n v="407"/>
    <s v="black"/>
    <x v="4"/>
  </r>
  <r>
    <d v="2021-11-20T00:00:00"/>
    <n v="20"/>
    <x v="1"/>
    <n v="2021"/>
    <n v="29"/>
    <x v="1"/>
    <x v="1"/>
    <x v="0"/>
    <x v="0"/>
    <x v="1"/>
    <s v="Mountain-200 Black, 38"/>
    <n v="1"/>
    <n v="713"/>
    <n v="1120"/>
    <n v="1120"/>
    <n v="713"/>
    <n v="407"/>
    <s v="black"/>
    <x v="2"/>
  </r>
  <r>
    <d v="2021-11-20T00:00:00"/>
    <n v="20"/>
    <x v="1"/>
    <n v="2021"/>
    <n v="39"/>
    <x v="0"/>
    <x v="0"/>
    <x v="4"/>
    <x v="12"/>
    <x v="1"/>
    <s v="Mountain-200 Silver, 38"/>
    <n v="1"/>
    <n v="713"/>
    <n v="1120"/>
    <n v="1120"/>
    <n v="713"/>
    <n v="407"/>
    <s v="silver"/>
    <x v="3"/>
  </r>
  <r>
    <d v="2021-11-21T00:00:00"/>
    <n v="21"/>
    <x v="1"/>
    <n v="2021"/>
    <n v="32"/>
    <x v="1"/>
    <x v="0"/>
    <x v="4"/>
    <x v="12"/>
    <x v="0"/>
    <s v="Road-150 Red, 56"/>
    <n v="4"/>
    <n v="713"/>
    <n v="1120"/>
    <n v="4480"/>
    <n v="2852"/>
    <n v="1628"/>
    <s v="red"/>
    <x v="1"/>
  </r>
  <r>
    <d v="2021-11-21T00:00:00"/>
    <n v="21"/>
    <x v="1"/>
    <n v="2021"/>
    <n v="35"/>
    <x v="0"/>
    <x v="1"/>
    <x v="0"/>
    <x v="8"/>
    <x v="0"/>
    <s v="Road-150 Red, 44"/>
    <n v="4"/>
    <n v="713"/>
    <n v="1120"/>
    <n v="4480"/>
    <n v="2852"/>
    <n v="1628"/>
    <s v="red"/>
    <x v="1"/>
  </r>
  <r>
    <d v="2021-11-21T00:00:00"/>
    <n v="21"/>
    <x v="1"/>
    <n v="2021"/>
    <n v="25"/>
    <x v="1"/>
    <x v="1"/>
    <x v="4"/>
    <x v="18"/>
    <x v="0"/>
    <s v="Road-350-W Yellow, 40"/>
    <n v="2"/>
    <n v="713"/>
    <n v="1120"/>
    <n v="2240"/>
    <n v="1426"/>
    <n v="814"/>
    <s v="yellow"/>
    <x v="0"/>
  </r>
  <r>
    <d v="2021-11-21T00:00:00"/>
    <n v="21"/>
    <x v="1"/>
    <n v="2021"/>
    <n v="29"/>
    <x v="1"/>
    <x v="1"/>
    <x v="2"/>
    <x v="2"/>
    <x v="1"/>
    <s v="Mountain-200 Black, 38"/>
    <n v="2"/>
    <n v="713"/>
    <n v="1120"/>
    <n v="2240"/>
    <n v="1426"/>
    <n v="814"/>
    <s v="black"/>
    <x v="2"/>
  </r>
  <r>
    <d v="2021-11-21T00:00:00"/>
    <n v="21"/>
    <x v="1"/>
    <n v="2021"/>
    <n v="52"/>
    <x v="0"/>
    <x v="0"/>
    <x v="1"/>
    <x v="1"/>
    <x v="0"/>
    <s v="Road-550-W Yellow, 44"/>
    <n v="2"/>
    <n v="713"/>
    <n v="1120"/>
    <n v="2240"/>
    <n v="1426"/>
    <n v="814"/>
    <s v="yellow"/>
    <x v="0"/>
  </r>
  <r>
    <d v="2021-11-21T00:00:00"/>
    <n v="21"/>
    <x v="1"/>
    <n v="2021"/>
    <n v="53"/>
    <x v="0"/>
    <x v="1"/>
    <x v="2"/>
    <x v="2"/>
    <x v="1"/>
    <s v="Mountain-200 Silver, 46"/>
    <n v="2"/>
    <n v="713"/>
    <n v="1120"/>
    <n v="2240"/>
    <n v="1426"/>
    <n v="814"/>
    <s v="silver"/>
    <x v="3"/>
  </r>
  <r>
    <d v="2021-11-21T00:00:00"/>
    <n v="21"/>
    <x v="1"/>
    <n v="2021"/>
    <n v="25"/>
    <x v="1"/>
    <x v="0"/>
    <x v="5"/>
    <x v="22"/>
    <x v="0"/>
    <s v="Road-350-W Yellow, 44"/>
    <n v="1"/>
    <n v="713"/>
    <n v="1120"/>
    <n v="1120"/>
    <n v="713"/>
    <n v="407"/>
    <s v="yellow"/>
    <x v="0"/>
  </r>
  <r>
    <d v="2021-11-22T00:00:00"/>
    <n v="22"/>
    <x v="1"/>
    <n v="2021"/>
    <n v="45"/>
    <x v="0"/>
    <x v="1"/>
    <x v="2"/>
    <x v="2"/>
    <x v="0"/>
    <s v="Road-650 Black, 60"/>
    <n v="2"/>
    <n v="713"/>
    <n v="1120"/>
    <n v="2240"/>
    <n v="1426"/>
    <n v="814"/>
    <s v="black"/>
    <x v="4"/>
  </r>
  <r>
    <d v="2021-11-22T00:00:00"/>
    <n v="22"/>
    <x v="1"/>
    <n v="2021"/>
    <n v="48"/>
    <x v="0"/>
    <x v="1"/>
    <x v="0"/>
    <x v="0"/>
    <x v="1"/>
    <s v="Mountain-200 Black, 46"/>
    <n v="2"/>
    <n v="713"/>
    <n v="1120"/>
    <n v="2240"/>
    <n v="1426"/>
    <n v="814"/>
    <s v="black"/>
    <x v="2"/>
  </r>
  <r>
    <d v="2021-11-22T00:00:00"/>
    <n v="22"/>
    <x v="1"/>
    <n v="2021"/>
    <n v="18"/>
    <x v="2"/>
    <x v="0"/>
    <x v="3"/>
    <x v="3"/>
    <x v="0"/>
    <s v="Road-150 Red, 62"/>
    <n v="1"/>
    <n v="713"/>
    <n v="1120"/>
    <n v="1120"/>
    <n v="713"/>
    <n v="407"/>
    <s v="red"/>
    <x v="1"/>
  </r>
  <r>
    <d v="2021-11-22T00:00:00"/>
    <n v="22"/>
    <x v="1"/>
    <n v="2021"/>
    <n v="32"/>
    <x v="1"/>
    <x v="0"/>
    <x v="0"/>
    <x v="0"/>
    <x v="0"/>
    <s v="Road-650 Red, 62"/>
    <n v="1"/>
    <n v="713"/>
    <n v="1120"/>
    <n v="1120"/>
    <n v="713"/>
    <n v="407"/>
    <s v="red"/>
    <x v="1"/>
  </r>
  <r>
    <d v="2021-11-23T00:00:00"/>
    <n v="23"/>
    <x v="1"/>
    <n v="2021"/>
    <n v="27"/>
    <x v="1"/>
    <x v="0"/>
    <x v="3"/>
    <x v="5"/>
    <x v="0"/>
    <s v="Road-550-W Yellow, 48"/>
    <n v="4"/>
    <n v="713"/>
    <n v="1120"/>
    <n v="4480"/>
    <n v="2852"/>
    <n v="1628"/>
    <s v="yellow"/>
    <x v="0"/>
  </r>
  <r>
    <d v="2021-11-23T00:00:00"/>
    <n v="23"/>
    <x v="1"/>
    <n v="2021"/>
    <n v="30"/>
    <x v="1"/>
    <x v="0"/>
    <x v="0"/>
    <x v="0"/>
    <x v="0"/>
    <s v="Road-650 Black, 58"/>
    <n v="4"/>
    <n v="713"/>
    <n v="1120"/>
    <n v="4480"/>
    <n v="2852"/>
    <n v="1628"/>
    <s v="black"/>
    <x v="4"/>
  </r>
  <r>
    <d v="2021-11-23T00:00:00"/>
    <n v="23"/>
    <x v="1"/>
    <n v="2021"/>
    <n v="17"/>
    <x v="2"/>
    <x v="1"/>
    <x v="3"/>
    <x v="5"/>
    <x v="0"/>
    <s v="Road-650 Red, 48"/>
    <n v="1"/>
    <n v="713"/>
    <n v="1120"/>
    <n v="1120"/>
    <n v="713"/>
    <n v="407"/>
    <s v="red"/>
    <x v="1"/>
  </r>
  <r>
    <d v="2021-11-23T00:00:00"/>
    <n v="23"/>
    <x v="1"/>
    <n v="2021"/>
    <n v="24"/>
    <x v="2"/>
    <x v="0"/>
    <x v="0"/>
    <x v="8"/>
    <x v="1"/>
    <s v="Mountain-200 Black, 46"/>
    <n v="1"/>
    <n v="713"/>
    <n v="1120"/>
    <n v="1120"/>
    <n v="713"/>
    <n v="407"/>
    <s v="black"/>
    <x v="2"/>
  </r>
  <r>
    <d v="2021-11-23T00:00:00"/>
    <n v="23"/>
    <x v="1"/>
    <n v="2021"/>
    <n v="29"/>
    <x v="1"/>
    <x v="0"/>
    <x v="0"/>
    <x v="8"/>
    <x v="0"/>
    <s v="Road-250 Red, 48"/>
    <n v="1"/>
    <n v="713"/>
    <n v="1120"/>
    <n v="1120"/>
    <n v="713"/>
    <n v="407"/>
    <s v="red"/>
    <x v="1"/>
  </r>
  <r>
    <d v="2021-11-24T00:00:00"/>
    <n v="24"/>
    <x v="1"/>
    <n v="2021"/>
    <n v="22"/>
    <x v="2"/>
    <x v="1"/>
    <x v="3"/>
    <x v="7"/>
    <x v="0"/>
    <s v="Road-650 Black, 44"/>
    <n v="3"/>
    <n v="713"/>
    <n v="1120"/>
    <n v="3360"/>
    <n v="2139"/>
    <n v="1221"/>
    <s v="black"/>
    <x v="4"/>
  </r>
  <r>
    <d v="2021-11-24T00:00:00"/>
    <n v="24"/>
    <x v="1"/>
    <n v="2021"/>
    <n v="34"/>
    <x v="1"/>
    <x v="0"/>
    <x v="5"/>
    <x v="10"/>
    <x v="0"/>
    <s v="Road-150 Red, 62"/>
    <n v="3"/>
    <n v="713"/>
    <n v="1120"/>
    <n v="3360"/>
    <n v="2139"/>
    <n v="1221"/>
    <s v="red"/>
    <x v="1"/>
  </r>
  <r>
    <d v="2021-11-24T00:00:00"/>
    <n v="24"/>
    <x v="1"/>
    <n v="2021"/>
    <n v="28"/>
    <x v="1"/>
    <x v="0"/>
    <x v="0"/>
    <x v="17"/>
    <x v="1"/>
    <s v="Mountain-200 Silver, 38"/>
    <n v="2"/>
    <n v="713"/>
    <n v="1120"/>
    <n v="2240"/>
    <n v="1426"/>
    <n v="814"/>
    <s v="silver"/>
    <x v="3"/>
  </r>
  <r>
    <d v="2021-11-24T00:00:00"/>
    <n v="24"/>
    <x v="1"/>
    <n v="2021"/>
    <n v="37"/>
    <x v="0"/>
    <x v="0"/>
    <x v="0"/>
    <x v="8"/>
    <x v="0"/>
    <s v="Road-350-W Yellow, 44"/>
    <n v="2"/>
    <n v="713"/>
    <n v="1120"/>
    <n v="2240"/>
    <n v="1426"/>
    <n v="814"/>
    <s v="yellow"/>
    <x v="0"/>
  </r>
  <r>
    <d v="2021-11-24T00:00:00"/>
    <n v="24"/>
    <x v="1"/>
    <n v="2021"/>
    <n v="23"/>
    <x v="2"/>
    <x v="1"/>
    <x v="0"/>
    <x v="0"/>
    <x v="1"/>
    <s v="Mountain-200 Silver, 38"/>
    <n v="1"/>
    <n v="713"/>
    <n v="1120"/>
    <n v="1120"/>
    <n v="713"/>
    <n v="407"/>
    <s v="silver"/>
    <x v="3"/>
  </r>
  <r>
    <d v="2021-11-24T00:00:00"/>
    <n v="24"/>
    <x v="1"/>
    <n v="2021"/>
    <n v="23"/>
    <x v="2"/>
    <x v="1"/>
    <x v="3"/>
    <x v="5"/>
    <x v="0"/>
    <s v="Road-250 Black, 58"/>
    <n v="1"/>
    <n v="713"/>
    <n v="1120"/>
    <n v="1120"/>
    <n v="713"/>
    <n v="407"/>
    <s v="black"/>
    <x v="4"/>
  </r>
  <r>
    <d v="2021-11-24T00:00:00"/>
    <n v="24"/>
    <x v="1"/>
    <n v="2021"/>
    <n v="33"/>
    <x v="1"/>
    <x v="0"/>
    <x v="0"/>
    <x v="17"/>
    <x v="0"/>
    <s v="Road-550-W Yellow, 38"/>
    <n v="1"/>
    <n v="713"/>
    <n v="1120"/>
    <n v="1120"/>
    <n v="713"/>
    <n v="407"/>
    <s v="yellow"/>
    <x v="0"/>
  </r>
  <r>
    <d v="2021-11-24T00:00:00"/>
    <n v="24"/>
    <x v="1"/>
    <n v="2021"/>
    <n v="39"/>
    <x v="0"/>
    <x v="0"/>
    <x v="3"/>
    <x v="7"/>
    <x v="0"/>
    <s v="Road-150 Red, 56"/>
    <n v="1"/>
    <n v="713"/>
    <n v="1120"/>
    <n v="1120"/>
    <n v="713"/>
    <n v="407"/>
    <s v="red"/>
    <x v="1"/>
  </r>
  <r>
    <d v="2021-11-24T00:00:00"/>
    <n v="24"/>
    <x v="1"/>
    <n v="2021"/>
    <n v="46"/>
    <x v="0"/>
    <x v="0"/>
    <x v="2"/>
    <x v="2"/>
    <x v="0"/>
    <s v="Road-250 Black, 58"/>
    <n v="1"/>
    <n v="713"/>
    <n v="1120"/>
    <n v="1120"/>
    <n v="713"/>
    <n v="407"/>
    <s v="black"/>
    <x v="4"/>
  </r>
  <r>
    <d v="2021-11-24T00:00:00"/>
    <n v="24"/>
    <x v="1"/>
    <n v="2021"/>
    <n v="48"/>
    <x v="0"/>
    <x v="1"/>
    <x v="0"/>
    <x v="0"/>
    <x v="1"/>
    <s v="Mountain-200 Black, 46"/>
    <n v="1"/>
    <n v="713"/>
    <n v="1120"/>
    <n v="1120"/>
    <n v="713"/>
    <n v="407"/>
    <s v="black"/>
    <x v="2"/>
  </r>
  <r>
    <d v="2021-11-25T00:00:00"/>
    <n v="25"/>
    <x v="1"/>
    <n v="2021"/>
    <n v="27"/>
    <x v="1"/>
    <x v="1"/>
    <x v="3"/>
    <x v="3"/>
    <x v="0"/>
    <s v="Road-250 Black, 44"/>
    <n v="3"/>
    <n v="713"/>
    <n v="1120"/>
    <n v="3360"/>
    <n v="2139"/>
    <n v="1221"/>
    <s v="black"/>
    <x v="4"/>
  </r>
  <r>
    <d v="2021-11-25T00:00:00"/>
    <n v="25"/>
    <x v="1"/>
    <n v="2021"/>
    <n v="28"/>
    <x v="1"/>
    <x v="0"/>
    <x v="2"/>
    <x v="2"/>
    <x v="0"/>
    <s v="Road-750 Black, 48"/>
    <n v="3"/>
    <n v="713"/>
    <n v="1120"/>
    <n v="3360"/>
    <n v="2139"/>
    <n v="1221"/>
    <s v="black"/>
    <x v="4"/>
  </r>
  <r>
    <d v="2021-11-25T00:00:00"/>
    <n v="25"/>
    <x v="1"/>
    <n v="2021"/>
    <n v="29"/>
    <x v="1"/>
    <x v="0"/>
    <x v="0"/>
    <x v="0"/>
    <x v="1"/>
    <s v="Mountain-200 Silver, 42"/>
    <n v="3"/>
    <n v="713"/>
    <n v="1120"/>
    <n v="3360"/>
    <n v="2139"/>
    <n v="1221"/>
    <s v="silver"/>
    <x v="3"/>
  </r>
  <r>
    <d v="2021-11-25T00:00:00"/>
    <n v="25"/>
    <x v="1"/>
    <n v="2021"/>
    <n v="19"/>
    <x v="2"/>
    <x v="0"/>
    <x v="3"/>
    <x v="5"/>
    <x v="0"/>
    <s v="Road-150 Red, 48"/>
    <n v="2"/>
    <n v="713"/>
    <n v="1120"/>
    <n v="2240"/>
    <n v="1426"/>
    <n v="814"/>
    <s v="red"/>
    <x v="1"/>
  </r>
  <r>
    <d v="2021-11-25T00:00:00"/>
    <n v="25"/>
    <x v="1"/>
    <n v="2021"/>
    <n v="22"/>
    <x v="2"/>
    <x v="1"/>
    <x v="0"/>
    <x v="0"/>
    <x v="0"/>
    <s v="Road-250 Red, 44"/>
    <n v="1"/>
    <n v="713"/>
    <n v="1120"/>
    <n v="1120"/>
    <n v="713"/>
    <n v="407"/>
    <s v="red"/>
    <x v="1"/>
  </r>
  <r>
    <d v="2021-11-25T00:00:00"/>
    <n v="25"/>
    <x v="1"/>
    <n v="2021"/>
    <n v="29"/>
    <x v="1"/>
    <x v="0"/>
    <x v="5"/>
    <x v="10"/>
    <x v="0"/>
    <s v="Road-650 Black, 58"/>
    <n v="1"/>
    <n v="713"/>
    <n v="1120"/>
    <n v="1120"/>
    <n v="713"/>
    <n v="407"/>
    <s v="black"/>
    <x v="4"/>
  </r>
  <r>
    <d v="2021-11-25T00:00:00"/>
    <n v="25"/>
    <x v="1"/>
    <n v="2021"/>
    <n v="42"/>
    <x v="0"/>
    <x v="1"/>
    <x v="2"/>
    <x v="2"/>
    <x v="0"/>
    <s v="Road-650 Red, 58"/>
    <n v="1"/>
    <n v="713"/>
    <n v="1120"/>
    <n v="1120"/>
    <n v="713"/>
    <n v="407"/>
    <s v="red"/>
    <x v="1"/>
  </r>
  <r>
    <d v="2021-11-25T00:00:00"/>
    <n v="25"/>
    <x v="1"/>
    <n v="2021"/>
    <n v="46"/>
    <x v="0"/>
    <x v="0"/>
    <x v="0"/>
    <x v="8"/>
    <x v="1"/>
    <s v="Mountain-200 Silver, 46"/>
    <n v="1"/>
    <n v="713"/>
    <n v="1120"/>
    <n v="1120"/>
    <n v="713"/>
    <n v="407"/>
    <s v="silver"/>
    <x v="3"/>
  </r>
  <r>
    <d v="2021-11-26T00:00:00"/>
    <n v="26"/>
    <x v="1"/>
    <n v="2021"/>
    <n v="27"/>
    <x v="1"/>
    <x v="0"/>
    <x v="2"/>
    <x v="2"/>
    <x v="0"/>
    <s v="Road-350-W Yellow, 48"/>
    <n v="3"/>
    <n v="713"/>
    <n v="1120"/>
    <n v="3360"/>
    <n v="2139"/>
    <n v="1221"/>
    <s v="yellow"/>
    <x v="0"/>
  </r>
  <r>
    <d v="2021-11-26T00:00:00"/>
    <n v="26"/>
    <x v="1"/>
    <n v="2021"/>
    <n v="29"/>
    <x v="1"/>
    <x v="1"/>
    <x v="4"/>
    <x v="12"/>
    <x v="0"/>
    <s v="Road-150 Red, 52"/>
    <n v="2"/>
    <n v="713"/>
    <n v="1120"/>
    <n v="2240"/>
    <n v="1426"/>
    <n v="814"/>
    <s v="red"/>
    <x v="1"/>
  </r>
  <r>
    <d v="2021-11-26T00:00:00"/>
    <n v="26"/>
    <x v="1"/>
    <n v="2021"/>
    <n v="17"/>
    <x v="2"/>
    <x v="0"/>
    <x v="3"/>
    <x v="5"/>
    <x v="0"/>
    <s v="Road-650 Red, 58"/>
    <n v="1"/>
    <n v="713"/>
    <n v="1120"/>
    <n v="1120"/>
    <n v="713"/>
    <n v="407"/>
    <s v="red"/>
    <x v="1"/>
  </r>
  <r>
    <d v="2021-11-26T00:00:00"/>
    <n v="26"/>
    <x v="1"/>
    <n v="2021"/>
    <n v="36"/>
    <x v="0"/>
    <x v="1"/>
    <x v="4"/>
    <x v="18"/>
    <x v="1"/>
    <s v="Mountain-200 Black, 38"/>
    <n v="1"/>
    <n v="713"/>
    <n v="1120"/>
    <n v="1120"/>
    <n v="713"/>
    <n v="407"/>
    <s v="black"/>
    <x v="2"/>
  </r>
  <r>
    <d v="2021-11-26T00:00:00"/>
    <n v="26"/>
    <x v="1"/>
    <n v="2021"/>
    <n v="41"/>
    <x v="0"/>
    <x v="0"/>
    <x v="4"/>
    <x v="11"/>
    <x v="1"/>
    <s v="Mountain-200 Silver, 46"/>
    <n v="1"/>
    <n v="713"/>
    <n v="1120"/>
    <n v="1120"/>
    <n v="713"/>
    <n v="407"/>
    <s v="silver"/>
    <x v="3"/>
  </r>
  <r>
    <d v="2021-11-26T00:00:00"/>
    <n v="26"/>
    <x v="1"/>
    <n v="2021"/>
    <n v="61"/>
    <x v="0"/>
    <x v="0"/>
    <x v="0"/>
    <x v="0"/>
    <x v="0"/>
    <s v="Road-150 Red, 52"/>
    <n v="1"/>
    <n v="713"/>
    <n v="1120"/>
    <n v="1120"/>
    <n v="713"/>
    <n v="407"/>
    <s v="red"/>
    <x v="1"/>
  </r>
  <r>
    <d v="2021-11-27T00:00:00"/>
    <n v="27"/>
    <x v="1"/>
    <n v="2021"/>
    <n v="28"/>
    <x v="1"/>
    <x v="0"/>
    <x v="2"/>
    <x v="2"/>
    <x v="0"/>
    <s v="Road-750 Black, 48"/>
    <n v="4"/>
    <n v="713"/>
    <n v="1120"/>
    <n v="4480"/>
    <n v="2852"/>
    <n v="1628"/>
    <s v="black"/>
    <x v="4"/>
  </r>
  <r>
    <d v="2021-11-27T00:00:00"/>
    <n v="27"/>
    <x v="1"/>
    <n v="2021"/>
    <n v="26"/>
    <x v="1"/>
    <x v="1"/>
    <x v="5"/>
    <x v="21"/>
    <x v="0"/>
    <s v="Road-350-W Yellow, 40"/>
    <n v="3"/>
    <n v="713"/>
    <n v="1120"/>
    <n v="3360"/>
    <n v="2139"/>
    <n v="1221"/>
    <s v="yellow"/>
    <x v="0"/>
  </r>
  <r>
    <d v="2021-11-27T00:00:00"/>
    <n v="27"/>
    <x v="1"/>
    <n v="2021"/>
    <n v="27"/>
    <x v="1"/>
    <x v="1"/>
    <x v="1"/>
    <x v="1"/>
    <x v="0"/>
    <s v="Road-650 Red, 44"/>
    <n v="3"/>
    <n v="713"/>
    <n v="1120"/>
    <n v="3360"/>
    <n v="2139"/>
    <n v="1221"/>
    <s v="red"/>
    <x v="1"/>
  </r>
  <r>
    <d v="2021-11-27T00:00:00"/>
    <n v="27"/>
    <x v="1"/>
    <n v="2021"/>
    <n v="39"/>
    <x v="0"/>
    <x v="0"/>
    <x v="5"/>
    <x v="10"/>
    <x v="0"/>
    <s v="Road-350-W Yellow, 40"/>
    <n v="3"/>
    <n v="713"/>
    <n v="1120"/>
    <n v="3360"/>
    <n v="2139"/>
    <n v="1221"/>
    <s v="yellow"/>
    <x v="0"/>
  </r>
  <r>
    <d v="2021-11-27T00:00:00"/>
    <n v="27"/>
    <x v="1"/>
    <n v="2021"/>
    <n v="56"/>
    <x v="0"/>
    <x v="0"/>
    <x v="0"/>
    <x v="8"/>
    <x v="0"/>
    <s v="Road-750 Black, 52"/>
    <n v="3"/>
    <n v="713"/>
    <n v="1120"/>
    <n v="3360"/>
    <n v="2139"/>
    <n v="1221"/>
    <s v="black"/>
    <x v="4"/>
  </r>
  <r>
    <d v="2021-11-27T00:00:00"/>
    <n v="27"/>
    <x v="1"/>
    <n v="2021"/>
    <n v="24"/>
    <x v="2"/>
    <x v="0"/>
    <x v="3"/>
    <x v="7"/>
    <x v="0"/>
    <s v="Road-550-W Yellow, 40"/>
    <n v="2"/>
    <n v="713"/>
    <n v="1120"/>
    <n v="2240"/>
    <n v="1426"/>
    <n v="814"/>
    <s v="yellow"/>
    <x v="0"/>
  </r>
  <r>
    <d v="2021-11-27T00:00:00"/>
    <n v="27"/>
    <x v="1"/>
    <n v="2021"/>
    <n v="27"/>
    <x v="1"/>
    <x v="1"/>
    <x v="1"/>
    <x v="1"/>
    <x v="0"/>
    <s v="Road-650 Red, 44"/>
    <n v="2"/>
    <n v="713"/>
    <n v="1120"/>
    <n v="2240"/>
    <n v="1426"/>
    <n v="814"/>
    <s v="red"/>
    <x v="1"/>
  </r>
  <r>
    <d v="2021-11-27T00:00:00"/>
    <n v="27"/>
    <x v="1"/>
    <n v="2021"/>
    <n v="29"/>
    <x v="1"/>
    <x v="1"/>
    <x v="5"/>
    <x v="21"/>
    <x v="0"/>
    <s v="Road-250 Red, 58"/>
    <n v="2"/>
    <n v="713"/>
    <n v="1120"/>
    <n v="2240"/>
    <n v="1426"/>
    <n v="814"/>
    <s v="red"/>
    <x v="1"/>
  </r>
  <r>
    <d v="2021-11-27T00:00:00"/>
    <n v="27"/>
    <x v="1"/>
    <n v="2021"/>
    <n v="49"/>
    <x v="0"/>
    <x v="0"/>
    <x v="1"/>
    <x v="1"/>
    <x v="0"/>
    <s v="Road-250 Red, 48"/>
    <n v="2"/>
    <n v="713"/>
    <n v="1120"/>
    <n v="2240"/>
    <n v="1426"/>
    <n v="814"/>
    <s v="red"/>
    <x v="1"/>
  </r>
  <r>
    <d v="2021-11-27T00:00:00"/>
    <n v="27"/>
    <x v="1"/>
    <n v="2021"/>
    <n v="24"/>
    <x v="2"/>
    <x v="0"/>
    <x v="3"/>
    <x v="3"/>
    <x v="0"/>
    <s v="Road-550-W Yellow, 42"/>
    <n v="1"/>
    <n v="713"/>
    <n v="1120"/>
    <n v="1120"/>
    <n v="713"/>
    <n v="407"/>
    <s v="yellow"/>
    <x v="0"/>
  </r>
  <r>
    <d v="2021-11-27T00:00:00"/>
    <n v="27"/>
    <x v="1"/>
    <n v="2021"/>
    <n v="25"/>
    <x v="1"/>
    <x v="1"/>
    <x v="3"/>
    <x v="5"/>
    <x v="0"/>
    <s v="Road-550-W Yellow, 44"/>
    <n v="1"/>
    <n v="713"/>
    <n v="1120"/>
    <n v="1120"/>
    <n v="713"/>
    <n v="407"/>
    <s v="yellow"/>
    <x v="0"/>
  </r>
  <r>
    <d v="2021-11-27T00:00:00"/>
    <n v="27"/>
    <x v="1"/>
    <n v="2021"/>
    <n v="27"/>
    <x v="1"/>
    <x v="1"/>
    <x v="1"/>
    <x v="1"/>
    <x v="0"/>
    <s v="Road-650 Red, 44"/>
    <n v="1"/>
    <n v="713"/>
    <n v="1120"/>
    <n v="1120"/>
    <n v="713"/>
    <n v="407"/>
    <s v="red"/>
    <x v="1"/>
  </r>
  <r>
    <d v="2021-11-27T00:00:00"/>
    <n v="27"/>
    <x v="1"/>
    <n v="2021"/>
    <n v="29"/>
    <x v="1"/>
    <x v="0"/>
    <x v="0"/>
    <x v="8"/>
    <x v="0"/>
    <s v="Road-250 Red, 48"/>
    <n v="1"/>
    <n v="713"/>
    <n v="1120"/>
    <n v="1120"/>
    <n v="713"/>
    <n v="407"/>
    <s v="red"/>
    <x v="1"/>
  </r>
  <r>
    <d v="2021-11-27T00:00:00"/>
    <n v="27"/>
    <x v="1"/>
    <n v="2021"/>
    <n v="38"/>
    <x v="0"/>
    <x v="1"/>
    <x v="5"/>
    <x v="23"/>
    <x v="0"/>
    <s v="Road-350-W Yellow, 42"/>
    <n v="1"/>
    <n v="713"/>
    <n v="1120"/>
    <n v="1120"/>
    <n v="713"/>
    <n v="407"/>
    <s v="yellow"/>
    <x v="0"/>
  </r>
  <r>
    <d v="2021-11-28T00:00:00"/>
    <n v="28"/>
    <x v="1"/>
    <n v="2021"/>
    <n v="20"/>
    <x v="2"/>
    <x v="1"/>
    <x v="3"/>
    <x v="5"/>
    <x v="0"/>
    <s v="Road-750 Black, 52"/>
    <n v="3"/>
    <n v="713"/>
    <n v="1120"/>
    <n v="3360"/>
    <n v="2139"/>
    <n v="1221"/>
    <s v="black"/>
    <x v="4"/>
  </r>
  <r>
    <d v="2021-11-28T00:00:00"/>
    <n v="28"/>
    <x v="1"/>
    <n v="2021"/>
    <n v="40"/>
    <x v="0"/>
    <x v="0"/>
    <x v="3"/>
    <x v="3"/>
    <x v="1"/>
    <s v="Mountain-200 Black, 38"/>
    <n v="2"/>
    <n v="713"/>
    <n v="1120"/>
    <n v="2240"/>
    <n v="1426"/>
    <n v="814"/>
    <s v="black"/>
    <x v="2"/>
  </r>
  <r>
    <d v="2021-11-28T00:00:00"/>
    <n v="28"/>
    <x v="1"/>
    <n v="2021"/>
    <n v="59"/>
    <x v="0"/>
    <x v="0"/>
    <x v="2"/>
    <x v="2"/>
    <x v="0"/>
    <s v="Road-250 Red, 48"/>
    <n v="2"/>
    <n v="713"/>
    <n v="1120"/>
    <n v="2240"/>
    <n v="1426"/>
    <n v="814"/>
    <s v="red"/>
    <x v="1"/>
  </r>
  <r>
    <d v="2021-11-28T00:00:00"/>
    <n v="28"/>
    <x v="1"/>
    <n v="2021"/>
    <n v="27"/>
    <x v="1"/>
    <x v="0"/>
    <x v="1"/>
    <x v="1"/>
    <x v="0"/>
    <s v="Road-550-W Yellow, 48"/>
    <n v="1"/>
    <n v="713"/>
    <n v="1120"/>
    <n v="1120"/>
    <n v="713"/>
    <n v="407"/>
    <s v="yellow"/>
    <x v="0"/>
  </r>
  <r>
    <d v="2021-11-28T00:00:00"/>
    <n v="28"/>
    <x v="1"/>
    <n v="2021"/>
    <n v="28"/>
    <x v="1"/>
    <x v="0"/>
    <x v="2"/>
    <x v="2"/>
    <x v="0"/>
    <s v="Road-750 Black, 48"/>
    <n v="1"/>
    <n v="713"/>
    <n v="1120"/>
    <n v="1120"/>
    <n v="713"/>
    <n v="407"/>
    <s v="black"/>
    <x v="4"/>
  </r>
  <r>
    <d v="2021-11-28T00:00:00"/>
    <n v="28"/>
    <x v="1"/>
    <n v="2021"/>
    <n v="31"/>
    <x v="1"/>
    <x v="1"/>
    <x v="0"/>
    <x v="8"/>
    <x v="0"/>
    <s v="Road-650 Black, 48"/>
    <n v="1"/>
    <n v="713"/>
    <n v="1120"/>
    <n v="1120"/>
    <n v="713"/>
    <n v="407"/>
    <s v="black"/>
    <x v="4"/>
  </r>
  <r>
    <d v="2021-11-29T00:00:00"/>
    <n v="29"/>
    <x v="1"/>
    <n v="2021"/>
    <n v="17"/>
    <x v="2"/>
    <x v="0"/>
    <x v="3"/>
    <x v="16"/>
    <x v="0"/>
    <s v="Road-750 Black, 48"/>
    <n v="4"/>
    <n v="713"/>
    <n v="1120"/>
    <n v="4480"/>
    <n v="2852"/>
    <n v="1628"/>
    <s v="black"/>
    <x v="4"/>
  </r>
  <r>
    <d v="2021-11-29T00:00:00"/>
    <n v="29"/>
    <x v="1"/>
    <n v="2021"/>
    <n v="21"/>
    <x v="2"/>
    <x v="1"/>
    <x v="3"/>
    <x v="4"/>
    <x v="0"/>
    <s v="Road-250 Black, 52"/>
    <n v="4"/>
    <n v="713"/>
    <n v="1120"/>
    <n v="4480"/>
    <n v="2852"/>
    <n v="1628"/>
    <s v="black"/>
    <x v="4"/>
  </r>
  <r>
    <d v="2021-11-29T00:00:00"/>
    <n v="29"/>
    <x v="1"/>
    <n v="2021"/>
    <n v="24"/>
    <x v="2"/>
    <x v="0"/>
    <x v="3"/>
    <x v="16"/>
    <x v="0"/>
    <s v="Road-550-W Yellow, 48"/>
    <n v="3"/>
    <n v="713"/>
    <n v="1120"/>
    <n v="3360"/>
    <n v="2139"/>
    <n v="1221"/>
    <s v="yellow"/>
    <x v="0"/>
  </r>
  <r>
    <d v="2021-11-29T00:00:00"/>
    <n v="29"/>
    <x v="1"/>
    <n v="2021"/>
    <n v="17"/>
    <x v="2"/>
    <x v="1"/>
    <x v="5"/>
    <x v="10"/>
    <x v="1"/>
    <s v="Mountain-200 Silver, 46"/>
    <n v="1"/>
    <n v="713"/>
    <n v="1120"/>
    <n v="1120"/>
    <n v="713"/>
    <n v="407"/>
    <s v="silver"/>
    <x v="3"/>
  </r>
  <r>
    <d v="2021-11-29T00:00:00"/>
    <n v="29"/>
    <x v="1"/>
    <n v="2021"/>
    <n v="29"/>
    <x v="1"/>
    <x v="1"/>
    <x v="5"/>
    <x v="23"/>
    <x v="0"/>
    <s v="Road-650 Black, 60"/>
    <n v="1"/>
    <n v="713"/>
    <n v="1120"/>
    <n v="1120"/>
    <n v="713"/>
    <n v="407"/>
    <s v="black"/>
    <x v="4"/>
  </r>
  <r>
    <d v="2021-11-29T00:00:00"/>
    <n v="29"/>
    <x v="1"/>
    <n v="2021"/>
    <n v="44"/>
    <x v="0"/>
    <x v="1"/>
    <x v="2"/>
    <x v="2"/>
    <x v="0"/>
    <s v="Road-550-W Yellow, 48"/>
    <n v="1"/>
    <n v="713"/>
    <n v="1120"/>
    <n v="1120"/>
    <n v="713"/>
    <n v="407"/>
    <s v="yellow"/>
    <x v="0"/>
  </r>
  <r>
    <d v="2021-11-30T00:00:00"/>
    <n v="30"/>
    <x v="1"/>
    <n v="2021"/>
    <n v="29"/>
    <x v="1"/>
    <x v="0"/>
    <x v="0"/>
    <x v="0"/>
    <x v="1"/>
    <s v="Mountain-200 Silver, 42"/>
    <n v="4"/>
    <n v="713"/>
    <n v="1120"/>
    <n v="4480"/>
    <n v="2852"/>
    <n v="1628"/>
    <s v="silver"/>
    <x v="3"/>
  </r>
  <r>
    <d v="2021-11-30T00:00:00"/>
    <n v="30"/>
    <x v="1"/>
    <n v="2021"/>
    <n v="60"/>
    <x v="0"/>
    <x v="0"/>
    <x v="0"/>
    <x v="0"/>
    <x v="0"/>
    <s v="Road-550-W Yellow, 44"/>
    <n v="4"/>
    <n v="713"/>
    <n v="1120"/>
    <n v="4480"/>
    <n v="2852"/>
    <n v="1628"/>
    <s v="yellow"/>
    <x v="0"/>
  </r>
  <r>
    <d v="2021-11-30T00:00:00"/>
    <n v="30"/>
    <x v="1"/>
    <n v="2021"/>
    <n v="17"/>
    <x v="2"/>
    <x v="1"/>
    <x v="3"/>
    <x v="5"/>
    <x v="0"/>
    <s v="Road-650 Red, 48"/>
    <n v="3"/>
    <n v="713"/>
    <n v="1120"/>
    <n v="3360"/>
    <n v="2139"/>
    <n v="1221"/>
    <s v="red"/>
    <x v="1"/>
  </r>
  <r>
    <d v="2021-11-30T00:00:00"/>
    <n v="30"/>
    <x v="1"/>
    <n v="2021"/>
    <n v="18"/>
    <x v="2"/>
    <x v="1"/>
    <x v="4"/>
    <x v="15"/>
    <x v="0"/>
    <s v="Road-250 Red, 58"/>
    <n v="2"/>
    <n v="713"/>
    <n v="1120"/>
    <n v="2240"/>
    <n v="1426"/>
    <n v="814"/>
    <s v="red"/>
    <x v="1"/>
  </r>
  <r>
    <d v="2021-11-30T00:00:00"/>
    <n v="30"/>
    <x v="1"/>
    <n v="2021"/>
    <n v="30"/>
    <x v="1"/>
    <x v="1"/>
    <x v="0"/>
    <x v="8"/>
    <x v="0"/>
    <s v="Road-650 Red, 58"/>
    <n v="2"/>
    <n v="713"/>
    <n v="1120"/>
    <n v="2240"/>
    <n v="1426"/>
    <n v="814"/>
    <s v="red"/>
    <x v="1"/>
  </r>
  <r>
    <d v="2021-11-30T00:00:00"/>
    <n v="30"/>
    <x v="1"/>
    <n v="2021"/>
    <n v="36"/>
    <x v="0"/>
    <x v="0"/>
    <x v="0"/>
    <x v="0"/>
    <x v="0"/>
    <s v="Road-650 Red, 62"/>
    <n v="1"/>
    <n v="713"/>
    <n v="1120"/>
    <n v="1120"/>
    <n v="713"/>
    <n v="407"/>
    <s v="red"/>
    <x v="1"/>
  </r>
  <r>
    <d v="2021-11-30T00:00:00"/>
    <n v="30"/>
    <x v="1"/>
    <n v="2021"/>
    <n v="41"/>
    <x v="0"/>
    <x v="1"/>
    <x v="0"/>
    <x v="8"/>
    <x v="0"/>
    <s v="Road-150 Red, 48"/>
    <n v="1"/>
    <n v="713"/>
    <n v="1120"/>
    <n v="1120"/>
    <n v="713"/>
    <n v="407"/>
    <s v="red"/>
    <x v="1"/>
  </r>
  <r>
    <d v="2021-11-30T00:00:00"/>
    <n v="30"/>
    <x v="1"/>
    <n v="2021"/>
    <n v="46"/>
    <x v="0"/>
    <x v="1"/>
    <x v="2"/>
    <x v="2"/>
    <x v="1"/>
    <s v="Mountain-200 Silver, 46"/>
    <n v="1"/>
    <n v="713"/>
    <n v="1120"/>
    <n v="1120"/>
    <n v="713"/>
    <n v="407"/>
    <s v="silver"/>
    <x v="3"/>
  </r>
  <r>
    <d v="2021-11-30T00:00:00"/>
    <n v="30"/>
    <x v="1"/>
    <n v="2021"/>
    <n v="57"/>
    <x v="0"/>
    <x v="1"/>
    <x v="0"/>
    <x v="0"/>
    <x v="0"/>
    <s v="Road-250 Red, 58"/>
    <n v="1"/>
    <n v="713"/>
    <n v="1120"/>
    <n v="1120"/>
    <n v="713"/>
    <n v="407"/>
    <s v="red"/>
    <x v="1"/>
  </r>
  <r>
    <d v="2021-12-01T00:00:00"/>
    <n v="1"/>
    <x v="2"/>
    <n v="2021"/>
    <n v="39"/>
    <x v="0"/>
    <x v="0"/>
    <x v="0"/>
    <x v="0"/>
    <x v="1"/>
    <s v="Mountain-200 Black, 46"/>
    <n v="4"/>
    <n v="713"/>
    <n v="1120"/>
    <n v="4480"/>
    <n v="2852"/>
    <n v="1628"/>
    <s v="black"/>
    <x v="2"/>
  </r>
  <r>
    <d v="2021-12-01T00:00:00"/>
    <n v="1"/>
    <x v="2"/>
    <n v="2021"/>
    <n v="42"/>
    <x v="0"/>
    <x v="1"/>
    <x v="0"/>
    <x v="8"/>
    <x v="0"/>
    <s v="Road-750 Black, 44"/>
    <n v="3"/>
    <n v="713"/>
    <n v="1120"/>
    <n v="3360"/>
    <n v="2139"/>
    <n v="1221"/>
    <s v="black"/>
    <x v="4"/>
  </r>
  <r>
    <d v="2021-12-01T00:00:00"/>
    <n v="1"/>
    <x v="2"/>
    <n v="2021"/>
    <n v="36"/>
    <x v="0"/>
    <x v="0"/>
    <x v="4"/>
    <x v="26"/>
    <x v="0"/>
    <s v="Road-550-W Yellow, 42"/>
    <n v="2"/>
    <n v="713"/>
    <n v="1120"/>
    <n v="2240"/>
    <n v="1426"/>
    <n v="814"/>
    <s v="yellow"/>
    <x v="0"/>
  </r>
  <r>
    <d v="2021-12-01T00:00:00"/>
    <n v="1"/>
    <x v="2"/>
    <n v="2021"/>
    <n v="20"/>
    <x v="2"/>
    <x v="1"/>
    <x v="4"/>
    <x v="6"/>
    <x v="0"/>
    <s v="Road-250 Red, 58"/>
    <n v="1"/>
    <n v="713"/>
    <n v="1120"/>
    <n v="1120"/>
    <n v="713"/>
    <n v="407"/>
    <s v="red"/>
    <x v="1"/>
  </r>
  <r>
    <d v="2021-12-01T00:00:00"/>
    <n v="1"/>
    <x v="2"/>
    <n v="2021"/>
    <n v="23"/>
    <x v="2"/>
    <x v="1"/>
    <x v="2"/>
    <x v="2"/>
    <x v="0"/>
    <s v="Road-150 Red, 52"/>
    <n v="1"/>
    <n v="713"/>
    <n v="1120"/>
    <n v="1120"/>
    <n v="713"/>
    <n v="407"/>
    <s v="red"/>
    <x v="1"/>
  </r>
  <r>
    <d v="2021-12-01T00:00:00"/>
    <n v="1"/>
    <x v="2"/>
    <n v="2021"/>
    <n v="23"/>
    <x v="2"/>
    <x v="0"/>
    <x v="0"/>
    <x v="0"/>
    <x v="0"/>
    <s v="Road-550-W Yellow, 42"/>
    <n v="1"/>
    <n v="713"/>
    <n v="1120"/>
    <n v="1120"/>
    <n v="713"/>
    <n v="407"/>
    <s v="yellow"/>
    <x v="0"/>
  </r>
  <r>
    <d v="2021-12-01T00:00:00"/>
    <n v="1"/>
    <x v="2"/>
    <n v="2021"/>
    <n v="28"/>
    <x v="1"/>
    <x v="0"/>
    <x v="3"/>
    <x v="5"/>
    <x v="0"/>
    <s v="Road-250 Black, 52"/>
    <n v="1"/>
    <n v="713"/>
    <n v="1120"/>
    <n v="1120"/>
    <n v="713"/>
    <n v="407"/>
    <s v="black"/>
    <x v="4"/>
  </r>
  <r>
    <d v="2021-12-01T00:00:00"/>
    <n v="1"/>
    <x v="2"/>
    <n v="2021"/>
    <n v="28"/>
    <x v="1"/>
    <x v="0"/>
    <x v="0"/>
    <x v="0"/>
    <x v="0"/>
    <s v="Road-750 Black, 44"/>
    <n v="1"/>
    <n v="713"/>
    <n v="1120"/>
    <n v="1120"/>
    <n v="713"/>
    <n v="407"/>
    <s v="black"/>
    <x v="4"/>
  </r>
  <r>
    <d v="2021-12-01T00:00:00"/>
    <n v="1"/>
    <x v="2"/>
    <n v="2021"/>
    <n v="31"/>
    <x v="1"/>
    <x v="0"/>
    <x v="3"/>
    <x v="4"/>
    <x v="0"/>
    <s v="Road-250 Black, 48"/>
    <n v="1"/>
    <n v="713"/>
    <n v="1120"/>
    <n v="1120"/>
    <n v="713"/>
    <n v="407"/>
    <s v="black"/>
    <x v="4"/>
  </r>
  <r>
    <d v="2021-12-01T00:00:00"/>
    <n v="1"/>
    <x v="2"/>
    <n v="2021"/>
    <n v="34"/>
    <x v="1"/>
    <x v="1"/>
    <x v="3"/>
    <x v="5"/>
    <x v="0"/>
    <s v="Road-350-W Yellow, 48"/>
    <n v="1"/>
    <n v="713"/>
    <n v="1120"/>
    <n v="1120"/>
    <n v="713"/>
    <n v="407"/>
    <s v="yellow"/>
    <x v="0"/>
  </r>
  <r>
    <d v="2021-12-01T00:00:00"/>
    <n v="1"/>
    <x v="2"/>
    <n v="2021"/>
    <n v="44"/>
    <x v="0"/>
    <x v="1"/>
    <x v="2"/>
    <x v="2"/>
    <x v="1"/>
    <s v="Mountain-200 Silver, 42"/>
    <n v="1"/>
    <n v="713"/>
    <n v="1120"/>
    <n v="1120"/>
    <n v="713"/>
    <n v="407"/>
    <s v="silver"/>
    <x v="3"/>
  </r>
  <r>
    <d v="2021-12-02T00:00:00"/>
    <n v="2"/>
    <x v="2"/>
    <n v="2021"/>
    <n v="39"/>
    <x v="0"/>
    <x v="0"/>
    <x v="2"/>
    <x v="2"/>
    <x v="0"/>
    <s v="Road-750 Black, 48"/>
    <n v="4"/>
    <n v="713"/>
    <n v="1120"/>
    <n v="4480"/>
    <n v="2852"/>
    <n v="1628"/>
    <s v="black"/>
    <x v="4"/>
  </r>
  <r>
    <d v="2021-12-02T00:00:00"/>
    <n v="2"/>
    <x v="2"/>
    <n v="2021"/>
    <n v="44"/>
    <x v="0"/>
    <x v="1"/>
    <x v="0"/>
    <x v="8"/>
    <x v="0"/>
    <s v="Road-250 Red, 52"/>
    <n v="4"/>
    <n v="713"/>
    <n v="1120"/>
    <n v="4480"/>
    <n v="2852"/>
    <n v="1628"/>
    <s v="red"/>
    <x v="1"/>
  </r>
  <r>
    <d v="2021-12-02T00:00:00"/>
    <n v="2"/>
    <x v="2"/>
    <n v="2021"/>
    <n v="41"/>
    <x v="0"/>
    <x v="1"/>
    <x v="3"/>
    <x v="5"/>
    <x v="0"/>
    <s v="Road-750 Black, 48"/>
    <n v="3"/>
    <n v="713"/>
    <n v="1120"/>
    <n v="3360"/>
    <n v="2139"/>
    <n v="1221"/>
    <s v="black"/>
    <x v="4"/>
  </r>
  <r>
    <d v="2021-12-02T00:00:00"/>
    <n v="2"/>
    <x v="2"/>
    <n v="2021"/>
    <n v="29"/>
    <x v="1"/>
    <x v="0"/>
    <x v="5"/>
    <x v="23"/>
    <x v="0"/>
    <s v="Road-550-W Yellow, 42"/>
    <n v="2"/>
    <n v="713"/>
    <n v="1120"/>
    <n v="2240"/>
    <n v="1426"/>
    <n v="814"/>
    <s v="yellow"/>
    <x v="0"/>
  </r>
  <r>
    <d v="2021-12-02T00:00:00"/>
    <n v="2"/>
    <x v="2"/>
    <n v="2021"/>
    <n v="35"/>
    <x v="0"/>
    <x v="1"/>
    <x v="3"/>
    <x v="5"/>
    <x v="0"/>
    <s v="Road-350-W Yellow, 42"/>
    <n v="2"/>
    <n v="713"/>
    <n v="1120"/>
    <n v="2240"/>
    <n v="1426"/>
    <n v="814"/>
    <s v="yellow"/>
    <x v="0"/>
  </r>
  <r>
    <d v="2021-12-02T00:00:00"/>
    <n v="2"/>
    <x v="2"/>
    <n v="2021"/>
    <n v="37"/>
    <x v="0"/>
    <x v="1"/>
    <x v="0"/>
    <x v="0"/>
    <x v="1"/>
    <s v="Mountain-400-W Silver, 46"/>
    <n v="2"/>
    <n v="713"/>
    <n v="1120"/>
    <n v="2240"/>
    <n v="1426"/>
    <n v="814"/>
    <s v="silver"/>
    <x v="3"/>
  </r>
  <r>
    <d v="2021-12-02T00:00:00"/>
    <n v="2"/>
    <x v="2"/>
    <n v="2021"/>
    <n v="28"/>
    <x v="1"/>
    <x v="0"/>
    <x v="0"/>
    <x v="8"/>
    <x v="0"/>
    <s v="Road-550-W Yellow, 44"/>
    <n v="1"/>
    <n v="713"/>
    <n v="1120"/>
    <n v="1120"/>
    <n v="713"/>
    <n v="407"/>
    <s v="yellow"/>
    <x v="0"/>
  </r>
  <r>
    <d v="2021-12-02T00:00:00"/>
    <n v="2"/>
    <x v="2"/>
    <n v="2021"/>
    <n v="31"/>
    <x v="1"/>
    <x v="0"/>
    <x v="3"/>
    <x v="5"/>
    <x v="1"/>
    <s v="Mountain-400-W Silver, 42"/>
    <n v="1"/>
    <n v="713"/>
    <n v="1120"/>
    <n v="1120"/>
    <n v="713"/>
    <n v="407"/>
    <s v="silver"/>
    <x v="3"/>
  </r>
  <r>
    <d v="2021-12-02T00:00:00"/>
    <n v="2"/>
    <x v="2"/>
    <n v="2021"/>
    <n v="31"/>
    <x v="1"/>
    <x v="0"/>
    <x v="0"/>
    <x v="0"/>
    <x v="0"/>
    <s v="Road-650 Black, 62"/>
    <n v="1"/>
    <n v="713"/>
    <n v="1120"/>
    <n v="1120"/>
    <n v="713"/>
    <n v="407"/>
    <s v="black"/>
    <x v="4"/>
  </r>
  <r>
    <d v="2021-12-03T00:00:00"/>
    <n v="3"/>
    <x v="2"/>
    <n v="2021"/>
    <n v="31"/>
    <x v="1"/>
    <x v="0"/>
    <x v="0"/>
    <x v="0"/>
    <x v="0"/>
    <s v="Road-650 Black, 62"/>
    <n v="4"/>
    <n v="713"/>
    <n v="1120"/>
    <n v="4480"/>
    <n v="2852"/>
    <n v="1628"/>
    <s v="black"/>
    <x v="4"/>
  </r>
  <r>
    <d v="2021-12-03T00:00:00"/>
    <n v="3"/>
    <x v="2"/>
    <n v="2021"/>
    <n v="41"/>
    <x v="0"/>
    <x v="0"/>
    <x v="0"/>
    <x v="8"/>
    <x v="0"/>
    <s v="Road-250 Black, 52"/>
    <n v="4"/>
    <n v="713"/>
    <n v="1120"/>
    <n v="4480"/>
    <n v="2852"/>
    <n v="1628"/>
    <s v="black"/>
    <x v="4"/>
  </r>
  <r>
    <d v="2021-12-03T00:00:00"/>
    <n v="3"/>
    <x v="2"/>
    <n v="2021"/>
    <n v="47"/>
    <x v="0"/>
    <x v="1"/>
    <x v="3"/>
    <x v="5"/>
    <x v="0"/>
    <s v="Road-750 Black, 58"/>
    <n v="4"/>
    <n v="713"/>
    <n v="1120"/>
    <n v="4480"/>
    <n v="2852"/>
    <n v="1628"/>
    <s v="black"/>
    <x v="4"/>
  </r>
  <r>
    <d v="2021-12-03T00:00:00"/>
    <n v="3"/>
    <x v="2"/>
    <n v="2021"/>
    <n v="59"/>
    <x v="0"/>
    <x v="0"/>
    <x v="2"/>
    <x v="2"/>
    <x v="0"/>
    <s v="Road-250 Red, 48"/>
    <n v="4"/>
    <n v="713"/>
    <n v="1120"/>
    <n v="4480"/>
    <n v="2852"/>
    <n v="1628"/>
    <s v="red"/>
    <x v="1"/>
  </r>
  <r>
    <d v="2021-12-03T00:00:00"/>
    <n v="3"/>
    <x v="2"/>
    <n v="2021"/>
    <n v="28"/>
    <x v="1"/>
    <x v="1"/>
    <x v="5"/>
    <x v="22"/>
    <x v="0"/>
    <s v="Road-350-W Yellow, 44"/>
    <n v="3"/>
    <n v="713"/>
    <n v="1120"/>
    <n v="3360"/>
    <n v="2139"/>
    <n v="1221"/>
    <s v="yellow"/>
    <x v="0"/>
  </r>
  <r>
    <d v="2021-12-03T00:00:00"/>
    <n v="3"/>
    <x v="2"/>
    <n v="2021"/>
    <n v="34"/>
    <x v="1"/>
    <x v="0"/>
    <x v="5"/>
    <x v="23"/>
    <x v="0"/>
    <s v="Road-150 Red, 62"/>
    <n v="3"/>
    <n v="713"/>
    <n v="1120"/>
    <n v="3360"/>
    <n v="2139"/>
    <n v="1221"/>
    <s v="red"/>
    <x v="1"/>
  </r>
  <r>
    <d v="2021-12-03T00:00:00"/>
    <n v="3"/>
    <x v="2"/>
    <n v="2021"/>
    <n v="24"/>
    <x v="2"/>
    <x v="1"/>
    <x v="4"/>
    <x v="6"/>
    <x v="0"/>
    <s v="Road-250 Black, 44"/>
    <n v="2"/>
    <n v="713"/>
    <n v="1120"/>
    <n v="2240"/>
    <n v="1426"/>
    <n v="814"/>
    <s v="black"/>
    <x v="4"/>
  </r>
  <r>
    <d v="2021-12-03T00:00:00"/>
    <n v="3"/>
    <x v="2"/>
    <n v="2021"/>
    <n v="34"/>
    <x v="1"/>
    <x v="0"/>
    <x v="3"/>
    <x v="16"/>
    <x v="0"/>
    <s v="Road-550-W Yellow, 40"/>
    <n v="2"/>
    <n v="713"/>
    <n v="1120"/>
    <n v="2240"/>
    <n v="1426"/>
    <n v="814"/>
    <s v="yellow"/>
    <x v="0"/>
  </r>
  <r>
    <d v="2021-12-03T00:00:00"/>
    <n v="3"/>
    <x v="2"/>
    <n v="2021"/>
    <n v="37"/>
    <x v="0"/>
    <x v="0"/>
    <x v="0"/>
    <x v="0"/>
    <x v="1"/>
    <s v="Mountain-200 Black, 46"/>
    <n v="2"/>
    <n v="713"/>
    <n v="1120"/>
    <n v="2240"/>
    <n v="1426"/>
    <n v="814"/>
    <s v="black"/>
    <x v="2"/>
  </r>
  <r>
    <d v="2021-12-03T00:00:00"/>
    <n v="3"/>
    <x v="2"/>
    <n v="2021"/>
    <n v="24"/>
    <x v="2"/>
    <x v="0"/>
    <x v="2"/>
    <x v="2"/>
    <x v="1"/>
    <s v="Mountain-200 Black, 38"/>
    <n v="1"/>
    <n v="713"/>
    <n v="1120"/>
    <n v="1120"/>
    <n v="713"/>
    <n v="407"/>
    <s v="black"/>
    <x v="2"/>
  </r>
  <r>
    <d v="2021-12-03T00:00:00"/>
    <n v="3"/>
    <x v="2"/>
    <n v="2021"/>
    <n v="28"/>
    <x v="1"/>
    <x v="0"/>
    <x v="3"/>
    <x v="5"/>
    <x v="0"/>
    <s v="Road-250 Black, 52"/>
    <n v="1"/>
    <n v="713"/>
    <n v="1120"/>
    <n v="1120"/>
    <n v="713"/>
    <n v="407"/>
    <s v="black"/>
    <x v="4"/>
  </r>
  <r>
    <d v="2021-12-03T00:00:00"/>
    <n v="3"/>
    <x v="2"/>
    <n v="2021"/>
    <n v="28"/>
    <x v="1"/>
    <x v="1"/>
    <x v="5"/>
    <x v="23"/>
    <x v="0"/>
    <s v="Road-550-W Yellow, 44"/>
    <n v="1"/>
    <n v="713"/>
    <n v="1120"/>
    <n v="1120"/>
    <n v="713"/>
    <n v="407"/>
    <s v="yellow"/>
    <x v="0"/>
  </r>
  <r>
    <d v="2021-12-03T00:00:00"/>
    <n v="3"/>
    <x v="2"/>
    <n v="2021"/>
    <n v="34"/>
    <x v="1"/>
    <x v="0"/>
    <x v="2"/>
    <x v="2"/>
    <x v="0"/>
    <s v="Road-350-W Yellow, 42"/>
    <n v="1"/>
    <n v="713"/>
    <n v="1120"/>
    <n v="1120"/>
    <n v="713"/>
    <n v="407"/>
    <s v="yellow"/>
    <x v="0"/>
  </r>
  <r>
    <d v="2021-12-03T00:00:00"/>
    <n v="3"/>
    <x v="2"/>
    <n v="2021"/>
    <n v="37"/>
    <x v="0"/>
    <x v="1"/>
    <x v="0"/>
    <x v="8"/>
    <x v="1"/>
    <s v="Mountain-200 Black, 46"/>
    <n v="1"/>
    <n v="713"/>
    <n v="1120"/>
    <n v="1120"/>
    <n v="713"/>
    <n v="407"/>
    <s v="black"/>
    <x v="2"/>
  </r>
  <r>
    <d v="2021-12-03T00:00:00"/>
    <n v="3"/>
    <x v="2"/>
    <n v="2021"/>
    <n v="45"/>
    <x v="0"/>
    <x v="0"/>
    <x v="3"/>
    <x v="5"/>
    <x v="0"/>
    <s v="Road-550-W Yellow, 40"/>
    <n v="1"/>
    <n v="713"/>
    <n v="1120"/>
    <n v="1120"/>
    <n v="713"/>
    <n v="407"/>
    <s v="yellow"/>
    <x v="0"/>
  </r>
  <r>
    <d v="2021-12-03T00:00:00"/>
    <n v="3"/>
    <x v="2"/>
    <n v="2021"/>
    <n v="54"/>
    <x v="0"/>
    <x v="1"/>
    <x v="0"/>
    <x v="0"/>
    <x v="0"/>
    <s v="Road-550-W Yellow, 44"/>
    <n v="1"/>
    <n v="713"/>
    <n v="1120"/>
    <n v="1120"/>
    <n v="713"/>
    <n v="407"/>
    <s v="yellow"/>
    <x v="0"/>
  </r>
  <r>
    <d v="2021-12-04T00:00:00"/>
    <n v="4"/>
    <x v="2"/>
    <n v="2021"/>
    <n v="31"/>
    <x v="1"/>
    <x v="0"/>
    <x v="3"/>
    <x v="5"/>
    <x v="1"/>
    <s v="Mountain-400-W Silver, 42"/>
    <n v="4"/>
    <n v="713"/>
    <n v="1120"/>
    <n v="4480"/>
    <n v="2852"/>
    <n v="1628"/>
    <s v="silver"/>
    <x v="3"/>
  </r>
  <r>
    <d v="2021-12-04T00:00:00"/>
    <n v="4"/>
    <x v="2"/>
    <n v="2021"/>
    <n v="22"/>
    <x v="2"/>
    <x v="0"/>
    <x v="0"/>
    <x v="17"/>
    <x v="0"/>
    <s v="Road-250 Black, 44"/>
    <n v="1"/>
    <n v="713"/>
    <n v="1120"/>
    <n v="1120"/>
    <n v="713"/>
    <n v="407"/>
    <s v="black"/>
    <x v="4"/>
  </r>
  <r>
    <d v="2021-12-04T00:00:00"/>
    <n v="4"/>
    <x v="2"/>
    <n v="2021"/>
    <n v="27"/>
    <x v="1"/>
    <x v="1"/>
    <x v="0"/>
    <x v="0"/>
    <x v="0"/>
    <s v="Road-550-W Yellow, 42"/>
    <n v="1"/>
    <n v="713"/>
    <n v="1120"/>
    <n v="1120"/>
    <n v="713"/>
    <n v="407"/>
    <s v="yellow"/>
    <x v="0"/>
  </r>
  <r>
    <d v="2021-12-05T00:00:00"/>
    <n v="5"/>
    <x v="2"/>
    <n v="2021"/>
    <n v="39"/>
    <x v="0"/>
    <x v="0"/>
    <x v="0"/>
    <x v="0"/>
    <x v="1"/>
    <s v="Mountain-200 Black, 46"/>
    <n v="4"/>
    <n v="713"/>
    <n v="1120"/>
    <n v="4480"/>
    <n v="2852"/>
    <n v="1628"/>
    <s v="black"/>
    <x v="2"/>
  </r>
  <r>
    <d v="2021-12-05T00:00:00"/>
    <n v="5"/>
    <x v="2"/>
    <n v="2021"/>
    <n v="42"/>
    <x v="0"/>
    <x v="1"/>
    <x v="4"/>
    <x v="11"/>
    <x v="1"/>
    <s v="Mountain-200 Black, 38"/>
    <n v="4"/>
    <n v="713"/>
    <n v="1120"/>
    <n v="4480"/>
    <n v="2852"/>
    <n v="1628"/>
    <s v="black"/>
    <x v="2"/>
  </r>
  <r>
    <d v="2021-12-05T00:00:00"/>
    <n v="5"/>
    <x v="2"/>
    <n v="2021"/>
    <n v="60"/>
    <x v="0"/>
    <x v="1"/>
    <x v="0"/>
    <x v="0"/>
    <x v="0"/>
    <s v="Road-150 Red, 48"/>
    <n v="4"/>
    <n v="713"/>
    <n v="1120"/>
    <n v="4480"/>
    <n v="2852"/>
    <n v="1628"/>
    <s v="red"/>
    <x v="1"/>
  </r>
  <r>
    <d v="2021-12-05T00:00:00"/>
    <n v="5"/>
    <x v="2"/>
    <n v="2021"/>
    <n v="27"/>
    <x v="1"/>
    <x v="1"/>
    <x v="5"/>
    <x v="27"/>
    <x v="0"/>
    <s v="Road-150 Red, 44"/>
    <n v="3"/>
    <n v="713"/>
    <n v="1120"/>
    <n v="3360"/>
    <n v="2139"/>
    <n v="1221"/>
    <s v="red"/>
    <x v="1"/>
  </r>
  <r>
    <d v="2021-12-05T00:00:00"/>
    <n v="5"/>
    <x v="2"/>
    <n v="2021"/>
    <n v="29"/>
    <x v="1"/>
    <x v="1"/>
    <x v="3"/>
    <x v="5"/>
    <x v="0"/>
    <s v="Road-750 Black, 44"/>
    <n v="2"/>
    <n v="713"/>
    <n v="1120"/>
    <n v="2240"/>
    <n v="1426"/>
    <n v="814"/>
    <s v="black"/>
    <x v="4"/>
  </r>
  <r>
    <d v="2021-12-05T00:00:00"/>
    <n v="5"/>
    <x v="2"/>
    <n v="2021"/>
    <n v="48"/>
    <x v="0"/>
    <x v="1"/>
    <x v="1"/>
    <x v="1"/>
    <x v="0"/>
    <s v="Road-750 Black, 48"/>
    <n v="2"/>
    <n v="713"/>
    <n v="1120"/>
    <n v="2240"/>
    <n v="1426"/>
    <n v="814"/>
    <s v="black"/>
    <x v="4"/>
  </r>
  <r>
    <d v="2021-12-05T00:00:00"/>
    <n v="5"/>
    <x v="2"/>
    <n v="2021"/>
    <n v="28"/>
    <x v="1"/>
    <x v="0"/>
    <x v="0"/>
    <x v="0"/>
    <x v="0"/>
    <s v="Road-750 Black, 44"/>
    <n v="1"/>
    <n v="713"/>
    <n v="1120"/>
    <n v="1120"/>
    <n v="713"/>
    <n v="407"/>
    <s v="black"/>
    <x v="4"/>
  </r>
  <r>
    <d v="2021-12-05T00:00:00"/>
    <n v="5"/>
    <x v="2"/>
    <n v="2021"/>
    <n v="28"/>
    <x v="1"/>
    <x v="0"/>
    <x v="1"/>
    <x v="1"/>
    <x v="0"/>
    <s v="Road-250 Red, 48"/>
    <n v="1"/>
    <n v="713"/>
    <n v="1120"/>
    <n v="1120"/>
    <n v="713"/>
    <n v="407"/>
    <s v="red"/>
    <x v="1"/>
  </r>
  <r>
    <d v="2021-12-05T00:00:00"/>
    <n v="5"/>
    <x v="2"/>
    <n v="2021"/>
    <n v="29"/>
    <x v="1"/>
    <x v="1"/>
    <x v="5"/>
    <x v="9"/>
    <x v="0"/>
    <s v="Road-150 Red, 62"/>
    <n v="1"/>
    <n v="713"/>
    <n v="1120"/>
    <n v="1120"/>
    <n v="713"/>
    <n v="407"/>
    <s v="red"/>
    <x v="1"/>
  </r>
  <r>
    <d v="2021-12-05T00:00:00"/>
    <n v="5"/>
    <x v="2"/>
    <n v="2021"/>
    <n v="35"/>
    <x v="0"/>
    <x v="0"/>
    <x v="3"/>
    <x v="3"/>
    <x v="1"/>
    <s v="Mountain-200 Silver, 38"/>
    <n v="1"/>
    <n v="713"/>
    <n v="1120"/>
    <n v="1120"/>
    <n v="713"/>
    <n v="407"/>
    <s v="silver"/>
    <x v="3"/>
  </r>
  <r>
    <d v="2021-12-05T00:00:00"/>
    <n v="5"/>
    <x v="2"/>
    <n v="2021"/>
    <n v="37"/>
    <x v="0"/>
    <x v="0"/>
    <x v="0"/>
    <x v="0"/>
    <x v="1"/>
    <s v="Mountain-200 Black, 46"/>
    <n v="1"/>
    <n v="713"/>
    <n v="1120"/>
    <n v="1120"/>
    <n v="713"/>
    <n v="407"/>
    <s v="black"/>
    <x v="2"/>
  </r>
  <r>
    <d v="2021-12-05T00:00:00"/>
    <n v="5"/>
    <x v="2"/>
    <n v="2021"/>
    <n v="41"/>
    <x v="0"/>
    <x v="1"/>
    <x v="0"/>
    <x v="8"/>
    <x v="0"/>
    <s v="Road-150 Red, 48"/>
    <n v="1"/>
    <n v="713"/>
    <n v="1120"/>
    <n v="1120"/>
    <n v="713"/>
    <n v="407"/>
    <s v="red"/>
    <x v="1"/>
  </r>
  <r>
    <d v="2021-12-05T00:00:00"/>
    <n v="5"/>
    <x v="2"/>
    <n v="2021"/>
    <n v="57"/>
    <x v="0"/>
    <x v="1"/>
    <x v="3"/>
    <x v="5"/>
    <x v="0"/>
    <s v="Road-150 Red, 52"/>
    <n v="1"/>
    <n v="713"/>
    <n v="1120"/>
    <n v="1120"/>
    <n v="713"/>
    <n v="407"/>
    <s v="red"/>
    <x v="1"/>
  </r>
  <r>
    <d v="2021-12-06T00:00:00"/>
    <n v="6"/>
    <x v="2"/>
    <n v="2021"/>
    <n v="23"/>
    <x v="2"/>
    <x v="1"/>
    <x v="2"/>
    <x v="2"/>
    <x v="1"/>
    <s v="Mountain-400-W Silver, 46"/>
    <n v="3"/>
    <n v="713"/>
    <n v="1120"/>
    <n v="3360"/>
    <n v="2139"/>
    <n v="1221"/>
    <s v="silver"/>
    <x v="3"/>
  </r>
  <r>
    <d v="2021-12-06T00:00:00"/>
    <n v="6"/>
    <x v="2"/>
    <n v="2021"/>
    <n v="23"/>
    <x v="2"/>
    <x v="1"/>
    <x v="5"/>
    <x v="21"/>
    <x v="0"/>
    <s v="Road-150 Red, 56"/>
    <n v="2"/>
    <n v="713"/>
    <n v="1120"/>
    <n v="2240"/>
    <n v="1426"/>
    <n v="814"/>
    <s v="red"/>
    <x v="1"/>
  </r>
  <r>
    <d v="2021-12-06T00:00:00"/>
    <n v="6"/>
    <x v="2"/>
    <n v="2021"/>
    <n v="26"/>
    <x v="1"/>
    <x v="0"/>
    <x v="5"/>
    <x v="10"/>
    <x v="0"/>
    <s v="Road-350-W Yellow, 40"/>
    <n v="1"/>
    <n v="713"/>
    <n v="1120"/>
    <n v="1120"/>
    <n v="713"/>
    <n v="407"/>
    <s v="yellow"/>
    <x v="0"/>
  </r>
  <r>
    <d v="2021-12-06T00:00:00"/>
    <n v="6"/>
    <x v="2"/>
    <n v="2021"/>
    <n v="27"/>
    <x v="1"/>
    <x v="1"/>
    <x v="1"/>
    <x v="1"/>
    <x v="1"/>
    <s v="Mountain-200 Black, 46"/>
    <n v="1"/>
    <n v="713"/>
    <n v="1120"/>
    <n v="1120"/>
    <n v="713"/>
    <n v="407"/>
    <s v="black"/>
    <x v="2"/>
  </r>
  <r>
    <d v="2021-12-06T00:00:00"/>
    <n v="6"/>
    <x v="2"/>
    <n v="2021"/>
    <n v="36"/>
    <x v="0"/>
    <x v="1"/>
    <x v="3"/>
    <x v="5"/>
    <x v="1"/>
    <s v="Mountain-200 Black, 42"/>
    <n v="1"/>
    <n v="713"/>
    <n v="1120"/>
    <n v="1120"/>
    <n v="713"/>
    <n v="407"/>
    <s v="black"/>
    <x v="2"/>
  </r>
  <r>
    <d v="2021-12-06T00:00:00"/>
    <n v="6"/>
    <x v="2"/>
    <n v="2021"/>
    <n v="47"/>
    <x v="0"/>
    <x v="1"/>
    <x v="2"/>
    <x v="2"/>
    <x v="1"/>
    <s v="Mountain-200 Silver, 38"/>
    <n v="1"/>
    <n v="713"/>
    <n v="1120"/>
    <n v="1120"/>
    <n v="713"/>
    <n v="407"/>
    <s v="silver"/>
    <x v="3"/>
  </r>
  <r>
    <d v="2021-12-07T00:00:00"/>
    <n v="7"/>
    <x v="2"/>
    <n v="2021"/>
    <n v="26"/>
    <x v="1"/>
    <x v="1"/>
    <x v="3"/>
    <x v="3"/>
    <x v="0"/>
    <s v="Road-550-W Yellow, 42"/>
    <n v="4"/>
    <n v="713"/>
    <n v="1120"/>
    <n v="4480"/>
    <n v="2852"/>
    <n v="1628"/>
    <s v="yellow"/>
    <x v="0"/>
  </r>
  <r>
    <d v="2021-12-07T00:00:00"/>
    <n v="7"/>
    <x v="2"/>
    <n v="2021"/>
    <n v="30"/>
    <x v="1"/>
    <x v="1"/>
    <x v="0"/>
    <x v="0"/>
    <x v="1"/>
    <s v="Mountain-400-W Silver, 38"/>
    <n v="4"/>
    <n v="713"/>
    <n v="1120"/>
    <n v="4480"/>
    <n v="2852"/>
    <n v="1628"/>
    <s v="silver"/>
    <x v="3"/>
  </r>
  <r>
    <d v="2021-12-07T00:00:00"/>
    <n v="7"/>
    <x v="2"/>
    <n v="2021"/>
    <n v="36"/>
    <x v="0"/>
    <x v="0"/>
    <x v="4"/>
    <x v="11"/>
    <x v="0"/>
    <s v="Road-150 Red, 62"/>
    <n v="4"/>
    <n v="713"/>
    <n v="1120"/>
    <n v="4480"/>
    <n v="2852"/>
    <n v="1628"/>
    <s v="red"/>
    <x v="1"/>
  </r>
  <r>
    <d v="2021-12-07T00:00:00"/>
    <n v="7"/>
    <x v="2"/>
    <n v="2021"/>
    <n v="37"/>
    <x v="0"/>
    <x v="0"/>
    <x v="3"/>
    <x v="4"/>
    <x v="0"/>
    <s v="Road-350-W Yellow, 40"/>
    <n v="4"/>
    <n v="713"/>
    <n v="1120"/>
    <n v="4480"/>
    <n v="2852"/>
    <n v="1628"/>
    <s v="yellow"/>
    <x v="0"/>
  </r>
  <r>
    <d v="2021-12-07T00:00:00"/>
    <n v="7"/>
    <x v="2"/>
    <n v="2021"/>
    <n v="45"/>
    <x v="0"/>
    <x v="1"/>
    <x v="4"/>
    <x v="6"/>
    <x v="0"/>
    <s v="Road-750 Black, 48"/>
    <n v="4"/>
    <n v="713"/>
    <n v="1120"/>
    <n v="4480"/>
    <n v="2852"/>
    <n v="1628"/>
    <s v="black"/>
    <x v="4"/>
  </r>
  <r>
    <d v="2021-12-07T00:00:00"/>
    <n v="7"/>
    <x v="2"/>
    <n v="2021"/>
    <n v="25"/>
    <x v="1"/>
    <x v="1"/>
    <x v="2"/>
    <x v="2"/>
    <x v="0"/>
    <s v="Road-250 Red, 58"/>
    <n v="3"/>
    <n v="713"/>
    <n v="1120"/>
    <n v="3360"/>
    <n v="2139"/>
    <n v="1221"/>
    <s v="red"/>
    <x v="1"/>
  </r>
  <r>
    <d v="2021-12-07T00:00:00"/>
    <n v="7"/>
    <x v="2"/>
    <n v="2021"/>
    <n v="38"/>
    <x v="0"/>
    <x v="1"/>
    <x v="0"/>
    <x v="0"/>
    <x v="1"/>
    <s v="Mountain-200 Silver, 42"/>
    <n v="2"/>
    <n v="713"/>
    <n v="1120"/>
    <n v="2240"/>
    <n v="1426"/>
    <n v="814"/>
    <s v="silver"/>
    <x v="3"/>
  </r>
  <r>
    <d v="2021-12-07T00:00:00"/>
    <n v="7"/>
    <x v="2"/>
    <n v="2021"/>
    <n v="43"/>
    <x v="0"/>
    <x v="0"/>
    <x v="0"/>
    <x v="0"/>
    <x v="0"/>
    <s v="Road-150 Red, 44"/>
    <n v="2"/>
    <n v="713"/>
    <n v="1120"/>
    <n v="2240"/>
    <n v="1426"/>
    <n v="814"/>
    <s v="red"/>
    <x v="1"/>
  </r>
  <r>
    <d v="2021-12-07T00:00:00"/>
    <n v="7"/>
    <x v="2"/>
    <n v="2021"/>
    <n v="19"/>
    <x v="2"/>
    <x v="1"/>
    <x v="0"/>
    <x v="0"/>
    <x v="0"/>
    <s v="Road-550-W Yellow, 42"/>
    <n v="1"/>
    <n v="713"/>
    <n v="1120"/>
    <n v="1120"/>
    <n v="713"/>
    <n v="407"/>
    <s v="yellow"/>
    <x v="0"/>
  </r>
  <r>
    <d v="2021-12-07T00:00:00"/>
    <n v="7"/>
    <x v="2"/>
    <n v="2021"/>
    <n v="25"/>
    <x v="1"/>
    <x v="0"/>
    <x v="2"/>
    <x v="2"/>
    <x v="0"/>
    <s v="Road-650 Black, 60"/>
    <n v="1"/>
    <n v="713"/>
    <n v="1120"/>
    <n v="1120"/>
    <n v="713"/>
    <n v="407"/>
    <s v="black"/>
    <x v="4"/>
  </r>
  <r>
    <d v="2021-12-07T00:00:00"/>
    <n v="7"/>
    <x v="2"/>
    <n v="2021"/>
    <n v="29"/>
    <x v="1"/>
    <x v="1"/>
    <x v="3"/>
    <x v="3"/>
    <x v="0"/>
    <s v="Road-250 Black, 52"/>
    <n v="1"/>
    <n v="713"/>
    <n v="1120"/>
    <n v="1120"/>
    <n v="713"/>
    <n v="407"/>
    <s v="black"/>
    <x v="4"/>
  </r>
  <r>
    <d v="2021-12-07T00:00:00"/>
    <n v="7"/>
    <x v="2"/>
    <n v="2021"/>
    <n v="33"/>
    <x v="1"/>
    <x v="1"/>
    <x v="5"/>
    <x v="28"/>
    <x v="0"/>
    <s v="Road-250 Black, 48"/>
    <n v="1"/>
    <n v="713"/>
    <n v="1120"/>
    <n v="1120"/>
    <n v="713"/>
    <n v="407"/>
    <s v="black"/>
    <x v="4"/>
  </r>
  <r>
    <d v="2021-12-07T00:00:00"/>
    <n v="7"/>
    <x v="2"/>
    <n v="2021"/>
    <n v="36"/>
    <x v="0"/>
    <x v="0"/>
    <x v="3"/>
    <x v="5"/>
    <x v="0"/>
    <s v="Road-350-W Yellow, 40"/>
    <n v="1"/>
    <n v="713"/>
    <n v="1120"/>
    <n v="1120"/>
    <n v="713"/>
    <n v="407"/>
    <s v="yellow"/>
    <x v="0"/>
  </r>
  <r>
    <d v="2021-12-07T00:00:00"/>
    <n v="7"/>
    <x v="2"/>
    <n v="2021"/>
    <n v="41"/>
    <x v="0"/>
    <x v="0"/>
    <x v="0"/>
    <x v="0"/>
    <x v="0"/>
    <s v="Road-750 Black, 52"/>
    <n v="1"/>
    <n v="713"/>
    <n v="1120"/>
    <n v="1120"/>
    <n v="713"/>
    <n v="407"/>
    <s v="black"/>
    <x v="4"/>
  </r>
  <r>
    <d v="2021-12-07T00:00:00"/>
    <n v="7"/>
    <x v="2"/>
    <n v="2021"/>
    <n v="43"/>
    <x v="0"/>
    <x v="1"/>
    <x v="3"/>
    <x v="3"/>
    <x v="0"/>
    <s v="Road-150 Red, 52"/>
    <n v="1"/>
    <n v="713"/>
    <n v="1120"/>
    <n v="1120"/>
    <n v="713"/>
    <n v="407"/>
    <s v="red"/>
    <x v="1"/>
  </r>
  <r>
    <d v="2021-12-07T00:00:00"/>
    <n v="7"/>
    <x v="2"/>
    <n v="2021"/>
    <n v="45"/>
    <x v="0"/>
    <x v="1"/>
    <x v="0"/>
    <x v="8"/>
    <x v="0"/>
    <s v="Road-150 Red, 56"/>
    <n v="1"/>
    <n v="713"/>
    <n v="1120"/>
    <n v="1120"/>
    <n v="713"/>
    <n v="407"/>
    <s v="red"/>
    <x v="1"/>
  </r>
  <r>
    <d v="2021-12-07T00:00:00"/>
    <n v="7"/>
    <x v="2"/>
    <n v="2021"/>
    <n v="49"/>
    <x v="0"/>
    <x v="1"/>
    <x v="2"/>
    <x v="2"/>
    <x v="0"/>
    <s v="Road-250 Red, 52"/>
    <n v="1"/>
    <n v="713"/>
    <n v="1120"/>
    <n v="1120"/>
    <n v="713"/>
    <n v="407"/>
    <s v="red"/>
    <x v="1"/>
  </r>
  <r>
    <d v="2021-12-08T00:00:00"/>
    <n v="8"/>
    <x v="2"/>
    <n v="2021"/>
    <n v="19"/>
    <x v="2"/>
    <x v="0"/>
    <x v="3"/>
    <x v="5"/>
    <x v="1"/>
    <s v="Mountain-500 Silver, 42"/>
    <n v="4"/>
    <n v="713"/>
    <n v="1120"/>
    <n v="4480"/>
    <n v="2852"/>
    <n v="1628"/>
    <s v="silver"/>
    <x v="3"/>
  </r>
  <r>
    <d v="2021-12-08T00:00:00"/>
    <n v="8"/>
    <x v="2"/>
    <n v="2021"/>
    <n v="25"/>
    <x v="1"/>
    <x v="0"/>
    <x v="3"/>
    <x v="7"/>
    <x v="0"/>
    <s v="Road-350-W Yellow, 48"/>
    <n v="4"/>
    <n v="713"/>
    <n v="1120"/>
    <n v="4480"/>
    <n v="2852"/>
    <n v="1628"/>
    <s v="yellow"/>
    <x v="0"/>
  </r>
  <r>
    <d v="2021-12-08T00:00:00"/>
    <n v="8"/>
    <x v="2"/>
    <n v="2021"/>
    <n v="27"/>
    <x v="1"/>
    <x v="1"/>
    <x v="3"/>
    <x v="4"/>
    <x v="0"/>
    <s v="Road-550-W Yellow, 38"/>
    <n v="4"/>
    <n v="713"/>
    <n v="1120"/>
    <n v="4480"/>
    <n v="2852"/>
    <n v="1628"/>
    <s v="yellow"/>
    <x v="0"/>
  </r>
  <r>
    <d v="2021-12-08T00:00:00"/>
    <n v="8"/>
    <x v="2"/>
    <n v="2021"/>
    <n v="30"/>
    <x v="1"/>
    <x v="0"/>
    <x v="1"/>
    <x v="1"/>
    <x v="1"/>
    <s v="Mountain-200 Silver, 38"/>
    <n v="4"/>
    <n v="713"/>
    <n v="1120"/>
    <n v="4480"/>
    <n v="2852"/>
    <n v="1628"/>
    <s v="silver"/>
    <x v="3"/>
  </r>
  <r>
    <d v="2021-12-08T00:00:00"/>
    <n v="8"/>
    <x v="2"/>
    <n v="2021"/>
    <n v="36"/>
    <x v="0"/>
    <x v="0"/>
    <x v="3"/>
    <x v="5"/>
    <x v="0"/>
    <s v="Road-350-W Yellow, 40"/>
    <n v="4"/>
    <n v="713"/>
    <n v="1120"/>
    <n v="4480"/>
    <n v="2852"/>
    <n v="1628"/>
    <s v="yellow"/>
    <x v="0"/>
  </r>
  <r>
    <d v="2021-12-08T00:00:00"/>
    <n v="8"/>
    <x v="2"/>
    <n v="2021"/>
    <n v="40"/>
    <x v="0"/>
    <x v="1"/>
    <x v="3"/>
    <x v="5"/>
    <x v="0"/>
    <s v="Road-250 Red, 58"/>
    <n v="4"/>
    <n v="713"/>
    <n v="1120"/>
    <n v="4480"/>
    <n v="2852"/>
    <n v="1628"/>
    <s v="red"/>
    <x v="1"/>
  </r>
  <r>
    <d v="2021-12-08T00:00:00"/>
    <n v="8"/>
    <x v="2"/>
    <n v="2021"/>
    <n v="39"/>
    <x v="0"/>
    <x v="0"/>
    <x v="0"/>
    <x v="17"/>
    <x v="1"/>
    <s v="Mountain-200 Black, 42"/>
    <n v="2"/>
    <n v="713"/>
    <n v="1120"/>
    <n v="2240"/>
    <n v="1426"/>
    <n v="814"/>
    <s v="black"/>
    <x v="2"/>
  </r>
  <r>
    <d v="2021-12-08T00:00:00"/>
    <n v="8"/>
    <x v="2"/>
    <n v="2021"/>
    <n v="30"/>
    <x v="1"/>
    <x v="0"/>
    <x v="3"/>
    <x v="3"/>
    <x v="0"/>
    <s v="Road-350-W Yellow, 48"/>
    <n v="1"/>
    <n v="713"/>
    <n v="1120"/>
    <n v="1120"/>
    <n v="713"/>
    <n v="407"/>
    <s v="yellow"/>
    <x v="0"/>
  </r>
  <r>
    <d v="2021-12-08T00:00:00"/>
    <n v="8"/>
    <x v="2"/>
    <n v="2021"/>
    <n v="35"/>
    <x v="0"/>
    <x v="0"/>
    <x v="0"/>
    <x v="0"/>
    <x v="1"/>
    <s v="Mountain-500 Black, 42"/>
    <n v="1"/>
    <n v="713"/>
    <n v="1120"/>
    <n v="1120"/>
    <n v="713"/>
    <n v="407"/>
    <s v="black"/>
    <x v="2"/>
  </r>
  <r>
    <d v="2021-12-08T00:00:00"/>
    <n v="8"/>
    <x v="2"/>
    <n v="2021"/>
    <n v="45"/>
    <x v="0"/>
    <x v="1"/>
    <x v="2"/>
    <x v="2"/>
    <x v="0"/>
    <s v="Road-650 Black, 60"/>
    <n v="1"/>
    <n v="713"/>
    <n v="1120"/>
    <n v="1120"/>
    <n v="713"/>
    <n v="407"/>
    <s v="black"/>
    <x v="4"/>
  </r>
  <r>
    <d v="2021-12-08T00:00:00"/>
    <n v="8"/>
    <x v="2"/>
    <n v="2021"/>
    <n v="47"/>
    <x v="0"/>
    <x v="0"/>
    <x v="1"/>
    <x v="1"/>
    <x v="0"/>
    <s v="Road-750 Black, 44"/>
    <n v="1"/>
    <n v="713"/>
    <n v="1120"/>
    <n v="1120"/>
    <n v="713"/>
    <n v="407"/>
    <s v="black"/>
    <x v="4"/>
  </r>
  <r>
    <d v="2021-12-09T00:00:00"/>
    <n v="9"/>
    <x v="2"/>
    <n v="2021"/>
    <n v="33"/>
    <x v="1"/>
    <x v="0"/>
    <x v="3"/>
    <x v="7"/>
    <x v="1"/>
    <s v="Mountain-100 Black, 38"/>
    <n v="2"/>
    <n v="713"/>
    <n v="1120"/>
    <n v="2240"/>
    <n v="1426"/>
    <n v="814"/>
    <s v="black"/>
    <x v="2"/>
  </r>
  <r>
    <d v="2021-12-09T00:00:00"/>
    <n v="9"/>
    <x v="2"/>
    <n v="2021"/>
    <n v="34"/>
    <x v="1"/>
    <x v="1"/>
    <x v="3"/>
    <x v="3"/>
    <x v="0"/>
    <s v="Road-250 Black, 58"/>
    <n v="2"/>
    <n v="713"/>
    <n v="1120"/>
    <n v="2240"/>
    <n v="1426"/>
    <n v="814"/>
    <s v="black"/>
    <x v="4"/>
  </r>
  <r>
    <d v="2021-12-09T00:00:00"/>
    <n v="9"/>
    <x v="2"/>
    <n v="2021"/>
    <n v="75"/>
    <x v="3"/>
    <x v="1"/>
    <x v="2"/>
    <x v="2"/>
    <x v="0"/>
    <s v="Road-250 Black, 48"/>
    <n v="2"/>
    <n v="713"/>
    <n v="1120"/>
    <n v="2240"/>
    <n v="1426"/>
    <n v="814"/>
    <s v="black"/>
    <x v="4"/>
  </r>
  <r>
    <d v="2021-12-09T00:00:00"/>
    <n v="9"/>
    <x v="2"/>
    <n v="2021"/>
    <n v="26"/>
    <x v="1"/>
    <x v="0"/>
    <x v="3"/>
    <x v="5"/>
    <x v="0"/>
    <s v="Road-250 Red, 58"/>
    <n v="1"/>
    <n v="713"/>
    <n v="1120"/>
    <n v="1120"/>
    <n v="713"/>
    <n v="407"/>
    <s v="red"/>
    <x v="1"/>
  </r>
  <r>
    <d v="2021-12-09T00:00:00"/>
    <n v="9"/>
    <x v="2"/>
    <n v="2021"/>
    <n v="41"/>
    <x v="0"/>
    <x v="0"/>
    <x v="4"/>
    <x v="6"/>
    <x v="1"/>
    <s v="Mountain-200 Silver, 42"/>
    <n v="1"/>
    <n v="713"/>
    <n v="1120"/>
    <n v="1120"/>
    <n v="713"/>
    <n v="407"/>
    <s v="silver"/>
    <x v="3"/>
  </r>
  <r>
    <d v="2021-12-09T00:00:00"/>
    <n v="9"/>
    <x v="2"/>
    <n v="2021"/>
    <n v="42"/>
    <x v="0"/>
    <x v="0"/>
    <x v="3"/>
    <x v="5"/>
    <x v="0"/>
    <s v="Road-150 Red, 62"/>
    <n v="1"/>
    <n v="713"/>
    <n v="1120"/>
    <n v="1120"/>
    <n v="713"/>
    <n v="407"/>
    <s v="red"/>
    <x v="1"/>
  </r>
  <r>
    <d v="2021-12-09T00:00:00"/>
    <n v="9"/>
    <x v="2"/>
    <n v="2021"/>
    <n v="42"/>
    <x v="0"/>
    <x v="0"/>
    <x v="4"/>
    <x v="18"/>
    <x v="0"/>
    <s v="Road-650 Red, 62"/>
    <n v="1"/>
    <n v="713"/>
    <n v="1120"/>
    <n v="1120"/>
    <n v="713"/>
    <n v="407"/>
    <s v="red"/>
    <x v="1"/>
  </r>
  <r>
    <d v="2021-12-10T00:00:00"/>
    <n v="10"/>
    <x v="2"/>
    <n v="2021"/>
    <n v="43"/>
    <x v="0"/>
    <x v="0"/>
    <x v="3"/>
    <x v="7"/>
    <x v="0"/>
    <s v="Road-350-W Yellow, 44"/>
    <n v="4"/>
    <n v="713"/>
    <n v="1120"/>
    <n v="4480"/>
    <n v="2852"/>
    <n v="1628"/>
    <s v="yellow"/>
    <x v="0"/>
  </r>
  <r>
    <d v="2021-12-10T00:00:00"/>
    <n v="10"/>
    <x v="2"/>
    <n v="2021"/>
    <n v="34"/>
    <x v="1"/>
    <x v="1"/>
    <x v="2"/>
    <x v="2"/>
    <x v="0"/>
    <s v="Road-550-W Yellow, 44"/>
    <n v="3"/>
    <n v="713"/>
    <n v="1120"/>
    <n v="3360"/>
    <n v="2139"/>
    <n v="1221"/>
    <s v="yellow"/>
    <x v="0"/>
  </r>
  <r>
    <d v="2021-12-10T00:00:00"/>
    <n v="10"/>
    <x v="2"/>
    <n v="2021"/>
    <n v="27"/>
    <x v="1"/>
    <x v="0"/>
    <x v="3"/>
    <x v="7"/>
    <x v="0"/>
    <s v="Road-250 Black, 44"/>
    <n v="2"/>
    <n v="713"/>
    <n v="1120"/>
    <n v="2240"/>
    <n v="1426"/>
    <n v="814"/>
    <s v="black"/>
    <x v="4"/>
  </r>
  <r>
    <d v="2021-12-10T00:00:00"/>
    <n v="10"/>
    <x v="2"/>
    <n v="2021"/>
    <n v="34"/>
    <x v="1"/>
    <x v="0"/>
    <x v="0"/>
    <x v="0"/>
    <x v="1"/>
    <s v="Mountain-200 Black, 42"/>
    <n v="2"/>
    <n v="713"/>
    <n v="1120"/>
    <n v="2240"/>
    <n v="1426"/>
    <n v="814"/>
    <s v="black"/>
    <x v="2"/>
  </r>
  <r>
    <d v="2021-12-10T00:00:00"/>
    <n v="10"/>
    <x v="2"/>
    <n v="2021"/>
    <n v="40"/>
    <x v="0"/>
    <x v="1"/>
    <x v="3"/>
    <x v="5"/>
    <x v="1"/>
    <s v="Mountain-200 Black, 42"/>
    <n v="2"/>
    <n v="713"/>
    <n v="1120"/>
    <n v="2240"/>
    <n v="1426"/>
    <n v="814"/>
    <s v="black"/>
    <x v="2"/>
  </r>
  <r>
    <d v="2021-12-10T00:00:00"/>
    <n v="10"/>
    <x v="2"/>
    <n v="2021"/>
    <n v="23"/>
    <x v="2"/>
    <x v="0"/>
    <x v="0"/>
    <x v="8"/>
    <x v="0"/>
    <s v="Road-150 Red, 48"/>
    <n v="1"/>
    <n v="713"/>
    <n v="1120"/>
    <n v="1120"/>
    <n v="713"/>
    <n v="407"/>
    <s v="red"/>
    <x v="1"/>
  </r>
  <r>
    <d v="2021-12-10T00:00:00"/>
    <n v="10"/>
    <x v="2"/>
    <n v="2021"/>
    <n v="26"/>
    <x v="1"/>
    <x v="1"/>
    <x v="2"/>
    <x v="2"/>
    <x v="1"/>
    <s v="Mountain-200 Black, 38"/>
    <n v="1"/>
    <n v="713"/>
    <n v="1120"/>
    <n v="1120"/>
    <n v="713"/>
    <n v="407"/>
    <s v="black"/>
    <x v="2"/>
  </r>
  <r>
    <d v="2021-12-10T00:00:00"/>
    <n v="10"/>
    <x v="2"/>
    <n v="2021"/>
    <n v="34"/>
    <x v="1"/>
    <x v="1"/>
    <x v="0"/>
    <x v="0"/>
    <x v="1"/>
    <s v="Mountain-500 Black, 40"/>
    <n v="1"/>
    <n v="713"/>
    <n v="1120"/>
    <n v="1120"/>
    <n v="713"/>
    <n v="407"/>
    <s v="black"/>
    <x v="2"/>
  </r>
  <r>
    <d v="2021-12-10T00:00:00"/>
    <n v="10"/>
    <x v="2"/>
    <n v="2021"/>
    <n v="34"/>
    <x v="1"/>
    <x v="0"/>
    <x v="0"/>
    <x v="8"/>
    <x v="1"/>
    <s v="Mountain-100 Silver, 44"/>
    <n v="1"/>
    <n v="713"/>
    <n v="1120"/>
    <n v="1120"/>
    <n v="713"/>
    <n v="407"/>
    <s v="silver"/>
    <x v="3"/>
  </r>
  <r>
    <d v="2021-12-10T00:00:00"/>
    <n v="10"/>
    <x v="2"/>
    <n v="2021"/>
    <n v="38"/>
    <x v="0"/>
    <x v="1"/>
    <x v="3"/>
    <x v="5"/>
    <x v="1"/>
    <s v="Mountain-200 Black, 38"/>
    <n v="1"/>
    <n v="713"/>
    <n v="1120"/>
    <n v="1120"/>
    <n v="713"/>
    <n v="407"/>
    <s v="black"/>
    <x v="2"/>
  </r>
  <r>
    <d v="2021-12-11T00:00:00"/>
    <n v="11"/>
    <x v="2"/>
    <n v="2021"/>
    <n v="24"/>
    <x v="2"/>
    <x v="1"/>
    <x v="5"/>
    <x v="21"/>
    <x v="0"/>
    <s v="Road-250 Black, 52"/>
    <n v="4"/>
    <n v="713"/>
    <n v="1120"/>
    <n v="4480"/>
    <n v="2852"/>
    <n v="1628"/>
    <s v="black"/>
    <x v="4"/>
  </r>
  <r>
    <d v="2021-12-11T00:00:00"/>
    <n v="11"/>
    <x v="2"/>
    <n v="2021"/>
    <n v="56"/>
    <x v="0"/>
    <x v="1"/>
    <x v="0"/>
    <x v="0"/>
    <x v="0"/>
    <s v="Road-250 Red, 58"/>
    <n v="4"/>
    <n v="713"/>
    <n v="1120"/>
    <n v="4480"/>
    <n v="2852"/>
    <n v="1628"/>
    <s v="red"/>
    <x v="1"/>
  </r>
  <r>
    <d v="2021-12-11T00:00:00"/>
    <n v="11"/>
    <x v="2"/>
    <n v="2021"/>
    <n v="24"/>
    <x v="2"/>
    <x v="0"/>
    <x v="5"/>
    <x v="23"/>
    <x v="1"/>
    <s v="Mountain-200 Black, 38"/>
    <n v="3"/>
    <n v="713"/>
    <n v="1120"/>
    <n v="3360"/>
    <n v="2139"/>
    <n v="1221"/>
    <s v="black"/>
    <x v="2"/>
  </r>
  <r>
    <d v="2021-12-11T00:00:00"/>
    <n v="11"/>
    <x v="2"/>
    <n v="2021"/>
    <n v="27"/>
    <x v="1"/>
    <x v="0"/>
    <x v="5"/>
    <x v="21"/>
    <x v="0"/>
    <s v="Road-250 Red, 58"/>
    <n v="3"/>
    <n v="713"/>
    <n v="1120"/>
    <n v="3360"/>
    <n v="2139"/>
    <n v="1221"/>
    <s v="red"/>
    <x v="1"/>
  </r>
  <r>
    <d v="2021-12-11T00:00:00"/>
    <n v="11"/>
    <x v="2"/>
    <n v="2021"/>
    <n v="41"/>
    <x v="0"/>
    <x v="1"/>
    <x v="0"/>
    <x v="0"/>
    <x v="0"/>
    <s v="Road-750 Black, 48"/>
    <n v="3"/>
    <n v="713"/>
    <n v="1120"/>
    <n v="3360"/>
    <n v="2139"/>
    <n v="1221"/>
    <s v="black"/>
    <x v="4"/>
  </r>
  <r>
    <d v="2021-12-11T00:00:00"/>
    <n v="11"/>
    <x v="2"/>
    <n v="2021"/>
    <n v="36"/>
    <x v="0"/>
    <x v="0"/>
    <x v="3"/>
    <x v="3"/>
    <x v="0"/>
    <s v="Road-350-W Yellow, 44"/>
    <n v="2"/>
    <n v="713"/>
    <n v="1120"/>
    <n v="2240"/>
    <n v="1426"/>
    <n v="814"/>
    <s v="yellow"/>
    <x v="0"/>
  </r>
  <r>
    <d v="2021-12-11T00:00:00"/>
    <n v="11"/>
    <x v="2"/>
    <n v="2021"/>
    <n v="41"/>
    <x v="0"/>
    <x v="0"/>
    <x v="3"/>
    <x v="5"/>
    <x v="1"/>
    <s v="Mountain-400-W Silver, 38"/>
    <n v="2"/>
    <n v="713"/>
    <n v="1120"/>
    <n v="2240"/>
    <n v="1426"/>
    <n v="814"/>
    <s v="silver"/>
    <x v="3"/>
  </r>
  <r>
    <d v="2021-12-11T00:00:00"/>
    <n v="11"/>
    <x v="2"/>
    <n v="2021"/>
    <n v="18"/>
    <x v="2"/>
    <x v="0"/>
    <x v="0"/>
    <x v="0"/>
    <x v="0"/>
    <s v="Road-650 Black, 62"/>
    <n v="1"/>
    <n v="713"/>
    <n v="1120"/>
    <n v="1120"/>
    <n v="713"/>
    <n v="407"/>
    <s v="black"/>
    <x v="4"/>
  </r>
  <r>
    <d v="2021-12-11T00:00:00"/>
    <n v="11"/>
    <x v="2"/>
    <n v="2021"/>
    <n v="27"/>
    <x v="1"/>
    <x v="1"/>
    <x v="1"/>
    <x v="1"/>
    <x v="1"/>
    <s v="Mountain-200 Black, 46"/>
    <n v="1"/>
    <n v="713"/>
    <n v="1120"/>
    <n v="1120"/>
    <n v="713"/>
    <n v="407"/>
    <s v="black"/>
    <x v="2"/>
  </r>
  <r>
    <d v="2021-12-11T00:00:00"/>
    <n v="11"/>
    <x v="2"/>
    <n v="2021"/>
    <n v="27"/>
    <x v="1"/>
    <x v="0"/>
    <x v="5"/>
    <x v="10"/>
    <x v="0"/>
    <s v="Road-250 Black, 52"/>
    <n v="1"/>
    <n v="713"/>
    <n v="1120"/>
    <n v="1120"/>
    <n v="713"/>
    <n v="407"/>
    <s v="black"/>
    <x v="4"/>
  </r>
  <r>
    <d v="2021-12-11T00:00:00"/>
    <n v="11"/>
    <x v="2"/>
    <n v="2021"/>
    <n v="29"/>
    <x v="1"/>
    <x v="0"/>
    <x v="2"/>
    <x v="2"/>
    <x v="0"/>
    <s v="Road-550-W Yellow, 38"/>
    <n v="1"/>
    <n v="713"/>
    <n v="1120"/>
    <n v="1120"/>
    <n v="713"/>
    <n v="407"/>
    <s v="yellow"/>
    <x v="0"/>
  </r>
  <r>
    <d v="2021-12-11T00:00:00"/>
    <n v="11"/>
    <x v="2"/>
    <n v="2021"/>
    <n v="37"/>
    <x v="0"/>
    <x v="1"/>
    <x v="0"/>
    <x v="0"/>
    <x v="1"/>
    <s v="Mountain-400-W Silver, 46"/>
    <n v="1"/>
    <n v="713"/>
    <n v="1120"/>
    <n v="1120"/>
    <n v="713"/>
    <n v="407"/>
    <s v="silver"/>
    <x v="3"/>
  </r>
  <r>
    <d v="2021-12-11T00:00:00"/>
    <n v="11"/>
    <x v="2"/>
    <n v="2021"/>
    <n v="38"/>
    <x v="0"/>
    <x v="0"/>
    <x v="0"/>
    <x v="0"/>
    <x v="1"/>
    <s v="Mountain-200 Silver, 38"/>
    <n v="1"/>
    <n v="713"/>
    <n v="1120"/>
    <n v="1120"/>
    <n v="713"/>
    <n v="407"/>
    <s v="silver"/>
    <x v="3"/>
  </r>
  <r>
    <d v="2021-12-11T00:00:00"/>
    <n v="11"/>
    <x v="2"/>
    <n v="2021"/>
    <n v="54"/>
    <x v="0"/>
    <x v="1"/>
    <x v="0"/>
    <x v="8"/>
    <x v="0"/>
    <s v="Road-550-W Yellow, 40"/>
    <n v="1"/>
    <n v="713"/>
    <n v="1120"/>
    <n v="1120"/>
    <n v="713"/>
    <n v="407"/>
    <s v="yellow"/>
    <x v="0"/>
  </r>
  <r>
    <d v="2021-12-12T00:00:00"/>
    <n v="12"/>
    <x v="2"/>
    <n v="2021"/>
    <n v="27"/>
    <x v="1"/>
    <x v="1"/>
    <x v="3"/>
    <x v="7"/>
    <x v="0"/>
    <s v="Road-750 Black, 58"/>
    <n v="4"/>
    <n v="713"/>
    <n v="1120"/>
    <n v="4480"/>
    <n v="2852"/>
    <n v="1628"/>
    <s v="black"/>
    <x v="4"/>
  </r>
  <r>
    <d v="2021-12-12T00:00:00"/>
    <n v="12"/>
    <x v="2"/>
    <n v="2021"/>
    <n v="36"/>
    <x v="0"/>
    <x v="0"/>
    <x v="3"/>
    <x v="5"/>
    <x v="1"/>
    <s v="Mountain-200 Silver, 42"/>
    <n v="4"/>
    <n v="713"/>
    <n v="1120"/>
    <n v="4480"/>
    <n v="2852"/>
    <n v="1628"/>
    <s v="silver"/>
    <x v="3"/>
  </r>
  <r>
    <d v="2021-12-12T00:00:00"/>
    <n v="12"/>
    <x v="2"/>
    <n v="2021"/>
    <n v="37"/>
    <x v="0"/>
    <x v="1"/>
    <x v="0"/>
    <x v="0"/>
    <x v="1"/>
    <s v="Mountain-400-W Silver, 46"/>
    <n v="4"/>
    <n v="713"/>
    <n v="1120"/>
    <n v="4480"/>
    <n v="2852"/>
    <n v="1628"/>
    <s v="silver"/>
    <x v="3"/>
  </r>
  <r>
    <d v="2021-12-12T00:00:00"/>
    <n v="12"/>
    <x v="2"/>
    <n v="2021"/>
    <n v="47"/>
    <x v="0"/>
    <x v="1"/>
    <x v="4"/>
    <x v="11"/>
    <x v="0"/>
    <s v="Road-650 Black, 44"/>
    <n v="4"/>
    <n v="713"/>
    <n v="1120"/>
    <n v="4480"/>
    <n v="2852"/>
    <n v="1628"/>
    <s v="black"/>
    <x v="4"/>
  </r>
  <r>
    <d v="2021-12-12T00:00:00"/>
    <n v="12"/>
    <x v="2"/>
    <n v="2021"/>
    <n v="18"/>
    <x v="2"/>
    <x v="1"/>
    <x v="4"/>
    <x v="18"/>
    <x v="0"/>
    <s v="Road-250 Black, 52"/>
    <n v="3"/>
    <n v="713"/>
    <n v="1120"/>
    <n v="3360"/>
    <n v="2139"/>
    <n v="1221"/>
    <s v="black"/>
    <x v="4"/>
  </r>
  <r>
    <d v="2021-12-12T00:00:00"/>
    <n v="12"/>
    <x v="2"/>
    <n v="2021"/>
    <n v="28"/>
    <x v="1"/>
    <x v="1"/>
    <x v="5"/>
    <x v="10"/>
    <x v="0"/>
    <s v="Road-150 Red, 44"/>
    <n v="3"/>
    <n v="713"/>
    <n v="1120"/>
    <n v="3360"/>
    <n v="2139"/>
    <n v="1221"/>
    <s v="red"/>
    <x v="1"/>
  </r>
  <r>
    <d v="2021-12-12T00:00:00"/>
    <n v="12"/>
    <x v="2"/>
    <n v="2021"/>
    <n v="33"/>
    <x v="1"/>
    <x v="0"/>
    <x v="2"/>
    <x v="2"/>
    <x v="0"/>
    <s v="Road-350-W Yellow, 48"/>
    <n v="3"/>
    <n v="713"/>
    <n v="1120"/>
    <n v="3360"/>
    <n v="2139"/>
    <n v="1221"/>
    <s v="yellow"/>
    <x v="0"/>
  </r>
  <r>
    <d v="2021-12-12T00:00:00"/>
    <n v="12"/>
    <x v="2"/>
    <n v="2021"/>
    <n v="43"/>
    <x v="0"/>
    <x v="1"/>
    <x v="0"/>
    <x v="0"/>
    <x v="0"/>
    <s v="Road-150 Red, 48"/>
    <n v="3"/>
    <n v="713"/>
    <n v="1120"/>
    <n v="3360"/>
    <n v="2139"/>
    <n v="1221"/>
    <s v="red"/>
    <x v="1"/>
  </r>
  <r>
    <d v="2021-12-12T00:00:00"/>
    <n v="12"/>
    <x v="2"/>
    <n v="2021"/>
    <n v="52"/>
    <x v="0"/>
    <x v="0"/>
    <x v="2"/>
    <x v="2"/>
    <x v="0"/>
    <s v="Road-250 Black, 58"/>
    <n v="3"/>
    <n v="713"/>
    <n v="1120"/>
    <n v="3360"/>
    <n v="2139"/>
    <n v="1221"/>
    <s v="black"/>
    <x v="4"/>
  </r>
  <r>
    <d v="2021-12-12T00:00:00"/>
    <n v="12"/>
    <x v="2"/>
    <n v="2021"/>
    <n v="23"/>
    <x v="2"/>
    <x v="1"/>
    <x v="0"/>
    <x v="8"/>
    <x v="0"/>
    <s v="Road-750 Black, 52"/>
    <n v="2"/>
    <n v="713"/>
    <n v="1120"/>
    <n v="2240"/>
    <n v="1426"/>
    <n v="814"/>
    <s v="black"/>
    <x v="4"/>
  </r>
  <r>
    <d v="2021-12-12T00:00:00"/>
    <n v="12"/>
    <x v="2"/>
    <n v="2021"/>
    <n v="34"/>
    <x v="1"/>
    <x v="1"/>
    <x v="3"/>
    <x v="5"/>
    <x v="1"/>
    <s v="Mountain-200 Black, 38"/>
    <n v="2"/>
    <n v="713"/>
    <n v="1120"/>
    <n v="2240"/>
    <n v="1426"/>
    <n v="814"/>
    <s v="black"/>
    <x v="2"/>
  </r>
  <r>
    <d v="2021-12-12T00:00:00"/>
    <n v="12"/>
    <x v="2"/>
    <n v="2021"/>
    <n v="33"/>
    <x v="1"/>
    <x v="1"/>
    <x v="4"/>
    <x v="12"/>
    <x v="0"/>
    <s v="Road-250 Red, 44"/>
    <n v="1"/>
    <n v="713"/>
    <n v="1120"/>
    <n v="1120"/>
    <n v="713"/>
    <n v="407"/>
    <s v="red"/>
    <x v="1"/>
  </r>
  <r>
    <d v="2021-12-12T00:00:00"/>
    <n v="12"/>
    <x v="2"/>
    <n v="2021"/>
    <n v="34"/>
    <x v="1"/>
    <x v="1"/>
    <x v="4"/>
    <x v="12"/>
    <x v="0"/>
    <s v="Road-650 Red, 48"/>
    <n v="1"/>
    <n v="713"/>
    <n v="1120"/>
    <n v="1120"/>
    <n v="713"/>
    <n v="407"/>
    <s v="red"/>
    <x v="1"/>
  </r>
  <r>
    <d v="2021-12-12T00:00:00"/>
    <n v="12"/>
    <x v="2"/>
    <n v="2021"/>
    <n v="35"/>
    <x v="0"/>
    <x v="0"/>
    <x v="3"/>
    <x v="7"/>
    <x v="1"/>
    <s v="Mountain-200 Silver, 42"/>
    <n v="1"/>
    <n v="713"/>
    <n v="1120"/>
    <n v="1120"/>
    <n v="713"/>
    <n v="407"/>
    <s v="silver"/>
    <x v="3"/>
  </r>
  <r>
    <d v="2021-12-12T00:00:00"/>
    <n v="12"/>
    <x v="2"/>
    <n v="2021"/>
    <n v="37"/>
    <x v="0"/>
    <x v="1"/>
    <x v="5"/>
    <x v="23"/>
    <x v="0"/>
    <s v="Road-150 Red, 44"/>
    <n v="1"/>
    <n v="713"/>
    <n v="1120"/>
    <n v="1120"/>
    <n v="713"/>
    <n v="407"/>
    <s v="red"/>
    <x v="1"/>
  </r>
  <r>
    <d v="2021-12-12T00:00:00"/>
    <n v="12"/>
    <x v="2"/>
    <n v="2021"/>
    <n v="38"/>
    <x v="0"/>
    <x v="0"/>
    <x v="0"/>
    <x v="8"/>
    <x v="1"/>
    <s v="Mountain-200 Silver, 42"/>
    <n v="1"/>
    <n v="713"/>
    <n v="1120"/>
    <n v="1120"/>
    <n v="713"/>
    <n v="407"/>
    <s v="silver"/>
    <x v="3"/>
  </r>
  <r>
    <d v="2021-12-12T00:00:00"/>
    <n v="12"/>
    <x v="2"/>
    <n v="2021"/>
    <n v="46"/>
    <x v="0"/>
    <x v="0"/>
    <x v="3"/>
    <x v="5"/>
    <x v="0"/>
    <s v="Road-750 Black, 48"/>
    <n v="1"/>
    <n v="713"/>
    <n v="1120"/>
    <n v="1120"/>
    <n v="713"/>
    <n v="407"/>
    <s v="black"/>
    <x v="4"/>
  </r>
  <r>
    <d v="2021-12-13T00:00:00"/>
    <n v="13"/>
    <x v="2"/>
    <n v="2021"/>
    <n v="28"/>
    <x v="1"/>
    <x v="1"/>
    <x v="3"/>
    <x v="5"/>
    <x v="0"/>
    <s v="Road-350-W Yellow, 42"/>
    <n v="4"/>
    <n v="713"/>
    <n v="1120"/>
    <n v="4480"/>
    <n v="2852"/>
    <n v="1628"/>
    <s v="yellow"/>
    <x v="0"/>
  </r>
  <r>
    <d v="2021-12-13T00:00:00"/>
    <n v="13"/>
    <x v="2"/>
    <n v="2021"/>
    <n v="32"/>
    <x v="1"/>
    <x v="0"/>
    <x v="3"/>
    <x v="3"/>
    <x v="1"/>
    <s v="Mountain-200 Silver, 42"/>
    <n v="3"/>
    <n v="713"/>
    <n v="1120"/>
    <n v="3360"/>
    <n v="2139"/>
    <n v="1221"/>
    <s v="silver"/>
    <x v="3"/>
  </r>
  <r>
    <d v="2021-12-13T00:00:00"/>
    <n v="13"/>
    <x v="2"/>
    <n v="2021"/>
    <n v="28"/>
    <x v="1"/>
    <x v="0"/>
    <x v="5"/>
    <x v="14"/>
    <x v="0"/>
    <s v="Road-350-W Yellow, 40"/>
    <n v="2"/>
    <n v="713"/>
    <n v="1120"/>
    <n v="2240"/>
    <n v="1426"/>
    <n v="814"/>
    <s v="yellow"/>
    <x v="0"/>
  </r>
  <r>
    <d v="2021-12-13T00:00:00"/>
    <n v="13"/>
    <x v="2"/>
    <n v="2021"/>
    <n v="29"/>
    <x v="1"/>
    <x v="0"/>
    <x v="3"/>
    <x v="3"/>
    <x v="0"/>
    <s v="Road-250 Black, 44"/>
    <n v="2"/>
    <n v="713"/>
    <n v="1120"/>
    <n v="2240"/>
    <n v="1426"/>
    <n v="814"/>
    <s v="black"/>
    <x v="4"/>
  </r>
  <r>
    <d v="2021-12-13T00:00:00"/>
    <n v="13"/>
    <x v="2"/>
    <n v="2021"/>
    <n v="27"/>
    <x v="1"/>
    <x v="1"/>
    <x v="3"/>
    <x v="7"/>
    <x v="0"/>
    <s v="Road-750 Black, 58"/>
    <n v="1"/>
    <n v="713"/>
    <n v="1120"/>
    <n v="1120"/>
    <n v="713"/>
    <n v="407"/>
    <s v="black"/>
    <x v="4"/>
  </r>
  <r>
    <d v="2021-12-13T00:00:00"/>
    <n v="13"/>
    <x v="2"/>
    <n v="2021"/>
    <n v="35"/>
    <x v="0"/>
    <x v="0"/>
    <x v="4"/>
    <x v="12"/>
    <x v="0"/>
    <s v="Road-350-W Yellow, 44"/>
    <n v="1"/>
    <n v="713"/>
    <n v="1120"/>
    <n v="1120"/>
    <n v="713"/>
    <n v="407"/>
    <s v="yellow"/>
    <x v="0"/>
  </r>
  <r>
    <d v="2021-12-13T00:00:00"/>
    <n v="13"/>
    <x v="2"/>
    <n v="2021"/>
    <n v="37"/>
    <x v="0"/>
    <x v="1"/>
    <x v="3"/>
    <x v="5"/>
    <x v="0"/>
    <s v="Road-350-W Yellow, 42"/>
    <n v="1"/>
    <n v="713"/>
    <n v="1120"/>
    <n v="1120"/>
    <n v="713"/>
    <n v="407"/>
    <s v="yellow"/>
    <x v="0"/>
  </r>
  <r>
    <d v="2021-12-13T00:00:00"/>
    <n v="13"/>
    <x v="2"/>
    <n v="2021"/>
    <n v="40"/>
    <x v="0"/>
    <x v="0"/>
    <x v="0"/>
    <x v="0"/>
    <x v="1"/>
    <s v="Mountain-500 Silver, 40"/>
    <n v="1"/>
    <n v="713"/>
    <n v="1120"/>
    <n v="1120"/>
    <n v="713"/>
    <n v="407"/>
    <s v="silver"/>
    <x v="3"/>
  </r>
  <r>
    <d v="2021-12-13T00:00:00"/>
    <n v="13"/>
    <x v="2"/>
    <n v="2021"/>
    <n v="44"/>
    <x v="0"/>
    <x v="0"/>
    <x v="2"/>
    <x v="2"/>
    <x v="1"/>
    <s v="Mountain-200 Black, 38"/>
    <n v="1"/>
    <n v="713"/>
    <n v="1120"/>
    <n v="1120"/>
    <n v="713"/>
    <n v="407"/>
    <s v="black"/>
    <x v="2"/>
  </r>
  <r>
    <d v="2021-12-13T00:00:00"/>
    <n v="13"/>
    <x v="2"/>
    <n v="2021"/>
    <n v="49"/>
    <x v="0"/>
    <x v="1"/>
    <x v="2"/>
    <x v="2"/>
    <x v="1"/>
    <s v="Mountain-200 Black, 38"/>
    <n v="1"/>
    <n v="713"/>
    <n v="1120"/>
    <n v="1120"/>
    <n v="713"/>
    <n v="407"/>
    <s v="black"/>
    <x v="2"/>
  </r>
  <r>
    <d v="2021-12-13T00:00:00"/>
    <n v="13"/>
    <x v="2"/>
    <n v="2021"/>
    <n v="54"/>
    <x v="0"/>
    <x v="0"/>
    <x v="0"/>
    <x v="8"/>
    <x v="0"/>
    <s v="Road-650 Red, 58"/>
    <n v="1"/>
    <n v="713"/>
    <n v="1120"/>
    <n v="1120"/>
    <n v="713"/>
    <n v="407"/>
    <s v="red"/>
    <x v="1"/>
  </r>
  <r>
    <d v="2021-12-13T00:00:00"/>
    <n v="13"/>
    <x v="2"/>
    <n v="2021"/>
    <n v="69"/>
    <x v="3"/>
    <x v="1"/>
    <x v="3"/>
    <x v="3"/>
    <x v="0"/>
    <s v="Road-250 Red, 58"/>
    <n v="1"/>
    <n v="713"/>
    <n v="1120"/>
    <n v="1120"/>
    <n v="713"/>
    <n v="407"/>
    <s v="red"/>
    <x v="1"/>
  </r>
  <r>
    <d v="2021-12-14T00:00:00"/>
    <n v="14"/>
    <x v="2"/>
    <n v="2021"/>
    <n v="33"/>
    <x v="1"/>
    <x v="0"/>
    <x v="4"/>
    <x v="18"/>
    <x v="0"/>
    <s v="Road-150 Red, 56"/>
    <n v="4"/>
    <n v="713"/>
    <n v="1120"/>
    <n v="4480"/>
    <n v="2852"/>
    <n v="1628"/>
    <s v="red"/>
    <x v="1"/>
  </r>
  <r>
    <d v="2021-12-14T00:00:00"/>
    <n v="14"/>
    <x v="2"/>
    <n v="2021"/>
    <n v="46"/>
    <x v="0"/>
    <x v="0"/>
    <x v="3"/>
    <x v="7"/>
    <x v="0"/>
    <s v="Road-750 Black, 48"/>
    <n v="4"/>
    <n v="713"/>
    <n v="1120"/>
    <n v="4480"/>
    <n v="2852"/>
    <n v="1628"/>
    <s v="black"/>
    <x v="4"/>
  </r>
  <r>
    <d v="2021-12-14T00:00:00"/>
    <n v="14"/>
    <x v="2"/>
    <n v="2021"/>
    <n v="32"/>
    <x v="1"/>
    <x v="1"/>
    <x v="5"/>
    <x v="23"/>
    <x v="0"/>
    <s v="Road-150 Red, 48"/>
    <n v="3"/>
    <n v="713"/>
    <n v="1120"/>
    <n v="3360"/>
    <n v="2139"/>
    <n v="1221"/>
    <s v="red"/>
    <x v="1"/>
  </r>
  <r>
    <d v="2021-12-14T00:00:00"/>
    <n v="14"/>
    <x v="2"/>
    <n v="2021"/>
    <n v="32"/>
    <x v="1"/>
    <x v="1"/>
    <x v="5"/>
    <x v="9"/>
    <x v="0"/>
    <s v="Road-550-W Yellow, 42"/>
    <n v="3"/>
    <n v="713"/>
    <n v="1120"/>
    <n v="3360"/>
    <n v="2139"/>
    <n v="1221"/>
    <s v="yellow"/>
    <x v="0"/>
  </r>
  <r>
    <d v="2021-12-14T00:00:00"/>
    <n v="14"/>
    <x v="2"/>
    <n v="2021"/>
    <n v="30"/>
    <x v="1"/>
    <x v="0"/>
    <x v="0"/>
    <x v="8"/>
    <x v="1"/>
    <s v="Mountain-200 Silver, 38"/>
    <n v="2"/>
    <n v="713"/>
    <n v="1120"/>
    <n v="2240"/>
    <n v="1426"/>
    <n v="814"/>
    <s v="silver"/>
    <x v="3"/>
  </r>
  <r>
    <d v="2021-12-14T00:00:00"/>
    <n v="14"/>
    <x v="2"/>
    <n v="2021"/>
    <n v="30"/>
    <x v="1"/>
    <x v="1"/>
    <x v="5"/>
    <x v="21"/>
    <x v="0"/>
    <s v="Road-250 Black, 48"/>
    <n v="2"/>
    <n v="713"/>
    <n v="1120"/>
    <n v="2240"/>
    <n v="1426"/>
    <n v="814"/>
    <s v="black"/>
    <x v="4"/>
  </r>
  <r>
    <d v="2021-12-14T00:00:00"/>
    <n v="14"/>
    <x v="2"/>
    <n v="2021"/>
    <n v="36"/>
    <x v="0"/>
    <x v="0"/>
    <x v="3"/>
    <x v="4"/>
    <x v="0"/>
    <s v="Road-150 Red, 52"/>
    <n v="2"/>
    <n v="713"/>
    <n v="1120"/>
    <n v="2240"/>
    <n v="1426"/>
    <n v="814"/>
    <s v="red"/>
    <x v="1"/>
  </r>
  <r>
    <d v="2021-12-14T00:00:00"/>
    <n v="14"/>
    <x v="2"/>
    <n v="2021"/>
    <n v="43"/>
    <x v="0"/>
    <x v="0"/>
    <x v="0"/>
    <x v="0"/>
    <x v="0"/>
    <s v="Road-150 Red, 44"/>
    <n v="2"/>
    <n v="713"/>
    <n v="1120"/>
    <n v="2240"/>
    <n v="1426"/>
    <n v="814"/>
    <s v="red"/>
    <x v="1"/>
  </r>
  <r>
    <d v="2021-12-14T00:00:00"/>
    <n v="14"/>
    <x v="2"/>
    <n v="2021"/>
    <n v="32"/>
    <x v="1"/>
    <x v="1"/>
    <x v="0"/>
    <x v="0"/>
    <x v="1"/>
    <s v="Mountain-200 Black, 46"/>
    <n v="1"/>
    <n v="713"/>
    <n v="1120"/>
    <n v="1120"/>
    <n v="713"/>
    <n v="407"/>
    <s v="black"/>
    <x v="2"/>
  </r>
  <r>
    <d v="2021-12-14T00:00:00"/>
    <n v="14"/>
    <x v="2"/>
    <n v="2021"/>
    <n v="32"/>
    <x v="1"/>
    <x v="0"/>
    <x v="3"/>
    <x v="7"/>
    <x v="1"/>
    <s v="Mountain-400-W Silver, 46"/>
    <n v="1"/>
    <n v="713"/>
    <n v="1120"/>
    <n v="1120"/>
    <n v="713"/>
    <n v="407"/>
    <s v="silver"/>
    <x v="3"/>
  </r>
  <r>
    <d v="2021-12-14T00:00:00"/>
    <n v="14"/>
    <x v="2"/>
    <n v="2021"/>
    <n v="36"/>
    <x v="0"/>
    <x v="0"/>
    <x v="3"/>
    <x v="7"/>
    <x v="0"/>
    <s v="Road-550-W Yellow, 48"/>
    <n v="1"/>
    <n v="713"/>
    <n v="1120"/>
    <n v="1120"/>
    <n v="713"/>
    <n v="407"/>
    <s v="yellow"/>
    <x v="0"/>
  </r>
  <r>
    <d v="2021-12-14T00:00:00"/>
    <n v="14"/>
    <x v="2"/>
    <n v="2021"/>
    <n v="37"/>
    <x v="0"/>
    <x v="1"/>
    <x v="4"/>
    <x v="12"/>
    <x v="0"/>
    <s v="Road-550-W Yellow, 38"/>
    <n v="1"/>
    <n v="713"/>
    <n v="1120"/>
    <n v="1120"/>
    <n v="713"/>
    <n v="407"/>
    <s v="yellow"/>
    <x v="0"/>
  </r>
  <r>
    <d v="2021-12-14T00:00:00"/>
    <n v="14"/>
    <x v="2"/>
    <n v="2021"/>
    <n v="40"/>
    <x v="0"/>
    <x v="0"/>
    <x v="4"/>
    <x v="18"/>
    <x v="0"/>
    <s v="Road-150 Red, 44"/>
    <n v="1"/>
    <n v="713"/>
    <n v="1120"/>
    <n v="1120"/>
    <n v="713"/>
    <n v="407"/>
    <s v="red"/>
    <x v="1"/>
  </r>
  <r>
    <d v="2021-12-14T00:00:00"/>
    <n v="14"/>
    <x v="2"/>
    <n v="2021"/>
    <n v="44"/>
    <x v="0"/>
    <x v="1"/>
    <x v="0"/>
    <x v="0"/>
    <x v="0"/>
    <s v="Road-750 Black, 48"/>
    <n v="1"/>
    <n v="713"/>
    <n v="1120"/>
    <n v="1120"/>
    <n v="713"/>
    <n v="407"/>
    <s v="black"/>
    <x v="4"/>
  </r>
  <r>
    <d v="2021-12-14T00:00:00"/>
    <n v="14"/>
    <x v="2"/>
    <n v="2021"/>
    <n v="44"/>
    <x v="0"/>
    <x v="1"/>
    <x v="3"/>
    <x v="5"/>
    <x v="0"/>
    <s v="Road-250 Red, 58"/>
    <n v="1"/>
    <n v="713"/>
    <n v="1120"/>
    <n v="1120"/>
    <n v="713"/>
    <n v="407"/>
    <s v="red"/>
    <x v="1"/>
  </r>
  <r>
    <d v="2021-12-14T00:00:00"/>
    <n v="14"/>
    <x v="2"/>
    <n v="2021"/>
    <n v="55"/>
    <x v="0"/>
    <x v="1"/>
    <x v="0"/>
    <x v="8"/>
    <x v="0"/>
    <s v="Road-550-W Yellow, 42"/>
    <n v="1"/>
    <n v="713"/>
    <n v="1120"/>
    <n v="1120"/>
    <n v="713"/>
    <n v="407"/>
    <s v="yellow"/>
    <x v="0"/>
  </r>
  <r>
    <d v="2021-12-15T00:00:00"/>
    <n v="15"/>
    <x v="2"/>
    <n v="2021"/>
    <n v="23"/>
    <x v="2"/>
    <x v="1"/>
    <x v="2"/>
    <x v="2"/>
    <x v="0"/>
    <s v="Road-150 Red, 52"/>
    <n v="4"/>
    <n v="713"/>
    <n v="1120"/>
    <n v="4480"/>
    <n v="2852"/>
    <n v="1628"/>
    <s v="red"/>
    <x v="1"/>
  </r>
  <r>
    <d v="2021-12-15T00:00:00"/>
    <n v="15"/>
    <x v="2"/>
    <n v="2021"/>
    <n v="28"/>
    <x v="1"/>
    <x v="0"/>
    <x v="3"/>
    <x v="5"/>
    <x v="0"/>
    <s v="Road-250 Black, 52"/>
    <n v="4"/>
    <n v="713"/>
    <n v="1120"/>
    <n v="4480"/>
    <n v="2852"/>
    <n v="1628"/>
    <s v="black"/>
    <x v="4"/>
  </r>
  <r>
    <d v="2021-12-15T00:00:00"/>
    <n v="15"/>
    <x v="2"/>
    <n v="2021"/>
    <n v="36"/>
    <x v="0"/>
    <x v="1"/>
    <x v="4"/>
    <x v="12"/>
    <x v="0"/>
    <s v="Road-350-W Yellow, 48"/>
    <n v="3"/>
    <n v="713"/>
    <n v="1120"/>
    <n v="3360"/>
    <n v="2139"/>
    <n v="1221"/>
    <s v="yellow"/>
    <x v="0"/>
  </r>
  <r>
    <d v="2021-12-15T00:00:00"/>
    <n v="15"/>
    <x v="2"/>
    <n v="2021"/>
    <n v="47"/>
    <x v="0"/>
    <x v="1"/>
    <x v="2"/>
    <x v="2"/>
    <x v="0"/>
    <s v="Road-650 Black, 62"/>
    <n v="2"/>
    <n v="713"/>
    <n v="1120"/>
    <n v="2240"/>
    <n v="1426"/>
    <n v="814"/>
    <s v="black"/>
    <x v="4"/>
  </r>
  <r>
    <d v="2021-12-15T00:00:00"/>
    <n v="15"/>
    <x v="2"/>
    <n v="2021"/>
    <n v="29"/>
    <x v="1"/>
    <x v="0"/>
    <x v="0"/>
    <x v="0"/>
    <x v="1"/>
    <s v="Mountain-200 Silver, 42"/>
    <n v="1"/>
    <n v="713"/>
    <n v="1120"/>
    <n v="1120"/>
    <n v="713"/>
    <n v="407"/>
    <s v="silver"/>
    <x v="3"/>
  </r>
  <r>
    <d v="2021-12-16T00:00:00"/>
    <n v="16"/>
    <x v="2"/>
    <n v="2021"/>
    <n v="48"/>
    <x v="0"/>
    <x v="0"/>
    <x v="1"/>
    <x v="1"/>
    <x v="0"/>
    <s v="Road-750 Black, 58"/>
    <n v="4"/>
    <n v="713"/>
    <n v="1120"/>
    <n v="4480"/>
    <n v="2852"/>
    <n v="1628"/>
    <s v="black"/>
    <x v="4"/>
  </r>
  <r>
    <d v="2021-12-16T00:00:00"/>
    <n v="16"/>
    <x v="2"/>
    <n v="2021"/>
    <n v="26"/>
    <x v="1"/>
    <x v="0"/>
    <x v="4"/>
    <x v="18"/>
    <x v="0"/>
    <s v="Road-250 Red, 58"/>
    <n v="3"/>
    <n v="713"/>
    <n v="1120"/>
    <n v="3360"/>
    <n v="2139"/>
    <n v="1221"/>
    <s v="red"/>
    <x v="1"/>
  </r>
  <r>
    <d v="2021-12-16T00:00:00"/>
    <n v="16"/>
    <x v="2"/>
    <n v="2021"/>
    <n v="29"/>
    <x v="1"/>
    <x v="1"/>
    <x v="0"/>
    <x v="17"/>
    <x v="0"/>
    <s v="Road-650 Black, 44"/>
    <n v="2"/>
    <n v="713"/>
    <n v="1120"/>
    <n v="2240"/>
    <n v="1426"/>
    <n v="814"/>
    <s v="black"/>
    <x v="4"/>
  </r>
  <r>
    <d v="2021-12-16T00:00:00"/>
    <n v="16"/>
    <x v="2"/>
    <n v="2021"/>
    <n v="33"/>
    <x v="1"/>
    <x v="0"/>
    <x v="3"/>
    <x v="5"/>
    <x v="1"/>
    <s v="Mountain-200 Black, 38"/>
    <n v="2"/>
    <n v="713"/>
    <n v="1120"/>
    <n v="2240"/>
    <n v="1426"/>
    <n v="814"/>
    <s v="black"/>
    <x v="2"/>
  </r>
  <r>
    <d v="2021-12-16T00:00:00"/>
    <n v="16"/>
    <x v="2"/>
    <n v="2021"/>
    <n v="38"/>
    <x v="0"/>
    <x v="1"/>
    <x v="3"/>
    <x v="5"/>
    <x v="1"/>
    <s v="Mountain-200 Black, 38"/>
    <n v="2"/>
    <n v="713"/>
    <n v="1120"/>
    <n v="2240"/>
    <n v="1426"/>
    <n v="814"/>
    <s v="black"/>
    <x v="2"/>
  </r>
  <r>
    <d v="2021-12-16T00:00:00"/>
    <n v="16"/>
    <x v="2"/>
    <n v="2021"/>
    <n v="18"/>
    <x v="2"/>
    <x v="0"/>
    <x v="0"/>
    <x v="17"/>
    <x v="0"/>
    <s v="Road-650 Red, 48"/>
    <n v="1"/>
    <n v="713"/>
    <n v="1120"/>
    <n v="1120"/>
    <n v="713"/>
    <n v="407"/>
    <s v="red"/>
    <x v="1"/>
  </r>
  <r>
    <d v="2021-12-16T00:00:00"/>
    <n v="16"/>
    <x v="2"/>
    <n v="2021"/>
    <n v="27"/>
    <x v="1"/>
    <x v="0"/>
    <x v="5"/>
    <x v="25"/>
    <x v="1"/>
    <s v="Mountain-200 Silver, 46"/>
    <n v="1"/>
    <n v="713"/>
    <n v="1120"/>
    <n v="1120"/>
    <n v="713"/>
    <n v="407"/>
    <s v="silver"/>
    <x v="3"/>
  </r>
  <r>
    <d v="2021-12-16T00:00:00"/>
    <n v="16"/>
    <x v="2"/>
    <n v="2021"/>
    <n v="28"/>
    <x v="1"/>
    <x v="1"/>
    <x v="5"/>
    <x v="23"/>
    <x v="0"/>
    <s v="Road-550-W Yellow, 44"/>
    <n v="1"/>
    <n v="713"/>
    <n v="1120"/>
    <n v="1120"/>
    <n v="713"/>
    <n v="407"/>
    <s v="yellow"/>
    <x v="0"/>
  </r>
  <r>
    <d v="2021-12-16T00:00:00"/>
    <n v="16"/>
    <x v="2"/>
    <n v="2021"/>
    <n v="32"/>
    <x v="1"/>
    <x v="1"/>
    <x v="5"/>
    <x v="23"/>
    <x v="0"/>
    <s v="Road-150 Red, 48"/>
    <n v="1"/>
    <n v="713"/>
    <n v="1120"/>
    <n v="1120"/>
    <n v="713"/>
    <n v="407"/>
    <s v="red"/>
    <x v="1"/>
  </r>
  <r>
    <d v="2021-12-16T00:00:00"/>
    <n v="16"/>
    <x v="2"/>
    <n v="2021"/>
    <n v="42"/>
    <x v="0"/>
    <x v="0"/>
    <x v="3"/>
    <x v="3"/>
    <x v="0"/>
    <s v="Road-550-W Yellow, 40"/>
    <n v="1"/>
    <n v="713"/>
    <n v="1120"/>
    <n v="1120"/>
    <n v="713"/>
    <n v="407"/>
    <s v="yellow"/>
    <x v="0"/>
  </r>
  <r>
    <d v="2021-12-16T00:00:00"/>
    <n v="16"/>
    <x v="2"/>
    <n v="2021"/>
    <n v="43"/>
    <x v="0"/>
    <x v="1"/>
    <x v="0"/>
    <x v="0"/>
    <x v="0"/>
    <s v="Road-150 Red, 48"/>
    <n v="1"/>
    <n v="713"/>
    <n v="1120"/>
    <n v="1120"/>
    <n v="713"/>
    <n v="407"/>
    <s v="red"/>
    <x v="1"/>
  </r>
  <r>
    <d v="2021-12-17T00:00:00"/>
    <n v="17"/>
    <x v="2"/>
    <n v="2021"/>
    <n v="18"/>
    <x v="2"/>
    <x v="1"/>
    <x v="0"/>
    <x v="0"/>
    <x v="0"/>
    <s v="Road-550-W Yellow, 40"/>
    <n v="4"/>
    <n v="713"/>
    <n v="1120"/>
    <n v="4480"/>
    <n v="2852"/>
    <n v="1628"/>
    <s v="yellow"/>
    <x v="0"/>
  </r>
  <r>
    <d v="2021-12-17T00:00:00"/>
    <n v="17"/>
    <x v="2"/>
    <n v="2021"/>
    <n v="27"/>
    <x v="1"/>
    <x v="1"/>
    <x v="3"/>
    <x v="3"/>
    <x v="0"/>
    <s v="Road-250 Black, 44"/>
    <n v="4"/>
    <n v="713"/>
    <n v="1120"/>
    <n v="4480"/>
    <n v="2852"/>
    <n v="1628"/>
    <s v="black"/>
    <x v="4"/>
  </r>
  <r>
    <d v="2021-12-17T00:00:00"/>
    <n v="17"/>
    <x v="2"/>
    <n v="2021"/>
    <n v="36"/>
    <x v="0"/>
    <x v="0"/>
    <x v="3"/>
    <x v="5"/>
    <x v="0"/>
    <s v="Road-350-W Yellow, 40"/>
    <n v="4"/>
    <n v="713"/>
    <n v="1120"/>
    <n v="4480"/>
    <n v="2852"/>
    <n v="1628"/>
    <s v="yellow"/>
    <x v="0"/>
  </r>
  <r>
    <d v="2021-12-17T00:00:00"/>
    <n v="17"/>
    <x v="2"/>
    <n v="2021"/>
    <n v="42"/>
    <x v="0"/>
    <x v="0"/>
    <x v="3"/>
    <x v="7"/>
    <x v="0"/>
    <s v="Road-750 Black, 48"/>
    <n v="4"/>
    <n v="713"/>
    <n v="1120"/>
    <n v="4480"/>
    <n v="2852"/>
    <n v="1628"/>
    <s v="black"/>
    <x v="4"/>
  </r>
  <r>
    <d v="2021-12-17T00:00:00"/>
    <n v="17"/>
    <x v="2"/>
    <n v="2021"/>
    <n v="37"/>
    <x v="0"/>
    <x v="0"/>
    <x v="0"/>
    <x v="8"/>
    <x v="1"/>
    <s v="Mountain-200 Silver, 38"/>
    <n v="2"/>
    <n v="713"/>
    <n v="1120"/>
    <n v="2240"/>
    <n v="1426"/>
    <n v="814"/>
    <s v="silver"/>
    <x v="3"/>
  </r>
  <r>
    <d v="2021-12-17T00:00:00"/>
    <n v="17"/>
    <x v="2"/>
    <n v="2021"/>
    <n v="31"/>
    <x v="1"/>
    <x v="1"/>
    <x v="3"/>
    <x v="5"/>
    <x v="1"/>
    <s v="Mountain-400-W Silver, 42"/>
    <n v="1"/>
    <n v="713"/>
    <n v="1120"/>
    <n v="1120"/>
    <n v="713"/>
    <n v="407"/>
    <s v="silver"/>
    <x v="3"/>
  </r>
  <r>
    <d v="2021-12-17T00:00:00"/>
    <n v="17"/>
    <x v="2"/>
    <n v="2021"/>
    <n v="40"/>
    <x v="0"/>
    <x v="0"/>
    <x v="0"/>
    <x v="0"/>
    <x v="0"/>
    <s v="Road-250 Black, 58"/>
    <n v="1"/>
    <n v="713"/>
    <n v="1120"/>
    <n v="1120"/>
    <n v="713"/>
    <n v="407"/>
    <s v="black"/>
    <x v="4"/>
  </r>
  <r>
    <d v="2021-12-17T00:00:00"/>
    <n v="17"/>
    <x v="2"/>
    <n v="2021"/>
    <n v="42"/>
    <x v="0"/>
    <x v="0"/>
    <x v="4"/>
    <x v="11"/>
    <x v="1"/>
    <s v="Mountain-200 Silver, 46"/>
    <n v="1"/>
    <n v="713"/>
    <n v="1120"/>
    <n v="1120"/>
    <n v="713"/>
    <n v="407"/>
    <s v="silver"/>
    <x v="3"/>
  </r>
  <r>
    <d v="2021-12-17T00:00:00"/>
    <n v="17"/>
    <x v="2"/>
    <n v="2021"/>
    <n v="42"/>
    <x v="0"/>
    <x v="0"/>
    <x v="3"/>
    <x v="3"/>
    <x v="0"/>
    <s v="Road-550-W Yellow, 40"/>
    <n v="1"/>
    <n v="713"/>
    <n v="1120"/>
    <n v="1120"/>
    <n v="713"/>
    <n v="407"/>
    <s v="yellow"/>
    <x v="0"/>
  </r>
  <r>
    <d v="2021-12-17T00:00:00"/>
    <n v="17"/>
    <x v="2"/>
    <n v="2021"/>
    <n v="43"/>
    <x v="0"/>
    <x v="0"/>
    <x v="3"/>
    <x v="5"/>
    <x v="0"/>
    <s v="Road-150 Red, 56"/>
    <n v="1"/>
    <n v="713"/>
    <n v="1120"/>
    <n v="1120"/>
    <n v="713"/>
    <n v="407"/>
    <s v="red"/>
    <x v="1"/>
  </r>
  <r>
    <d v="2021-12-17T00:00:00"/>
    <n v="17"/>
    <x v="2"/>
    <n v="2021"/>
    <n v="44"/>
    <x v="0"/>
    <x v="1"/>
    <x v="2"/>
    <x v="2"/>
    <x v="0"/>
    <s v="Road-550-W Yellow, 48"/>
    <n v="1"/>
    <n v="713"/>
    <n v="1120"/>
    <n v="1120"/>
    <n v="713"/>
    <n v="407"/>
    <s v="yellow"/>
    <x v="0"/>
  </r>
  <r>
    <d v="2021-12-18T00:00:00"/>
    <n v="18"/>
    <x v="2"/>
    <n v="2021"/>
    <n v="35"/>
    <x v="0"/>
    <x v="0"/>
    <x v="3"/>
    <x v="5"/>
    <x v="1"/>
    <s v="Mountain-500 Silver, 42"/>
    <n v="4"/>
    <n v="713"/>
    <n v="1120"/>
    <n v="4480"/>
    <n v="2852"/>
    <n v="1628"/>
    <s v="silver"/>
    <x v="3"/>
  </r>
  <r>
    <d v="2021-12-18T00:00:00"/>
    <n v="18"/>
    <x v="2"/>
    <n v="2021"/>
    <n v="38"/>
    <x v="0"/>
    <x v="0"/>
    <x v="4"/>
    <x v="11"/>
    <x v="1"/>
    <s v="Mountain-200 Silver, 46"/>
    <n v="4"/>
    <n v="713"/>
    <n v="1120"/>
    <n v="4480"/>
    <n v="2852"/>
    <n v="1628"/>
    <s v="silver"/>
    <x v="3"/>
  </r>
  <r>
    <d v="2021-12-18T00:00:00"/>
    <n v="18"/>
    <x v="2"/>
    <n v="2021"/>
    <n v="24"/>
    <x v="2"/>
    <x v="0"/>
    <x v="5"/>
    <x v="21"/>
    <x v="1"/>
    <s v="Mountain-200 Silver, 38"/>
    <n v="3"/>
    <n v="713"/>
    <n v="1120"/>
    <n v="3360"/>
    <n v="2139"/>
    <n v="1221"/>
    <s v="silver"/>
    <x v="3"/>
  </r>
  <r>
    <d v="2021-12-18T00:00:00"/>
    <n v="18"/>
    <x v="2"/>
    <n v="2021"/>
    <n v="26"/>
    <x v="1"/>
    <x v="0"/>
    <x v="2"/>
    <x v="2"/>
    <x v="1"/>
    <s v="Mountain-400-W Silver, 42"/>
    <n v="3"/>
    <n v="713"/>
    <n v="1120"/>
    <n v="3360"/>
    <n v="2139"/>
    <n v="1221"/>
    <s v="silver"/>
    <x v="3"/>
  </r>
  <r>
    <d v="2021-12-18T00:00:00"/>
    <n v="18"/>
    <x v="2"/>
    <n v="2021"/>
    <n v="26"/>
    <x v="1"/>
    <x v="0"/>
    <x v="5"/>
    <x v="9"/>
    <x v="0"/>
    <s v="Road-250 Red, 52"/>
    <n v="3"/>
    <n v="713"/>
    <n v="1120"/>
    <n v="3360"/>
    <n v="2139"/>
    <n v="1221"/>
    <s v="red"/>
    <x v="1"/>
  </r>
  <r>
    <d v="2021-12-18T00:00:00"/>
    <n v="18"/>
    <x v="2"/>
    <n v="2021"/>
    <n v="39"/>
    <x v="0"/>
    <x v="1"/>
    <x v="0"/>
    <x v="0"/>
    <x v="1"/>
    <s v="Mountain-200 Black, 42"/>
    <n v="3"/>
    <n v="713"/>
    <n v="1120"/>
    <n v="3360"/>
    <n v="2139"/>
    <n v="1221"/>
    <s v="black"/>
    <x v="2"/>
  </r>
  <r>
    <d v="2021-12-18T00:00:00"/>
    <n v="18"/>
    <x v="2"/>
    <n v="2021"/>
    <n v="47"/>
    <x v="0"/>
    <x v="1"/>
    <x v="3"/>
    <x v="7"/>
    <x v="0"/>
    <s v="Road-750 Black, 48"/>
    <n v="2"/>
    <n v="713"/>
    <n v="1120"/>
    <n v="2240"/>
    <n v="1426"/>
    <n v="814"/>
    <s v="black"/>
    <x v="4"/>
  </r>
  <r>
    <d v="2021-12-18T00:00:00"/>
    <n v="18"/>
    <x v="2"/>
    <n v="2021"/>
    <n v="26"/>
    <x v="1"/>
    <x v="1"/>
    <x v="5"/>
    <x v="23"/>
    <x v="1"/>
    <s v="Mountain-200 Black, 46"/>
    <n v="1"/>
    <n v="713"/>
    <n v="1120"/>
    <n v="1120"/>
    <n v="713"/>
    <n v="407"/>
    <s v="black"/>
    <x v="2"/>
  </r>
  <r>
    <d v="2021-12-18T00:00:00"/>
    <n v="18"/>
    <x v="2"/>
    <n v="2021"/>
    <n v="36"/>
    <x v="0"/>
    <x v="1"/>
    <x v="0"/>
    <x v="8"/>
    <x v="1"/>
    <s v="Mountain-200 Silver, 38"/>
    <n v="1"/>
    <n v="713"/>
    <n v="1120"/>
    <n v="1120"/>
    <n v="713"/>
    <n v="407"/>
    <s v="silver"/>
    <x v="3"/>
  </r>
  <r>
    <d v="2021-12-18T00:00:00"/>
    <n v="18"/>
    <x v="2"/>
    <n v="2021"/>
    <n v="45"/>
    <x v="0"/>
    <x v="0"/>
    <x v="3"/>
    <x v="5"/>
    <x v="0"/>
    <s v="Road-550-W Yellow, 40"/>
    <n v="1"/>
    <n v="713"/>
    <n v="1120"/>
    <n v="1120"/>
    <n v="713"/>
    <n v="407"/>
    <s v="yellow"/>
    <x v="0"/>
  </r>
  <r>
    <d v="2021-12-19T00:00:00"/>
    <n v="19"/>
    <x v="2"/>
    <n v="2021"/>
    <n v="17"/>
    <x v="2"/>
    <x v="1"/>
    <x v="5"/>
    <x v="10"/>
    <x v="1"/>
    <s v="Mountain-200 Silver, 46"/>
    <n v="4"/>
    <n v="713"/>
    <n v="1120"/>
    <n v="4480"/>
    <n v="2852"/>
    <n v="1628"/>
    <s v="silver"/>
    <x v="3"/>
  </r>
  <r>
    <d v="2021-12-19T00:00:00"/>
    <n v="19"/>
    <x v="2"/>
    <n v="2021"/>
    <n v="19"/>
    <x v="2"/>
    <x v="0"/>
    <x v="3"/>
    <x v="7"/>
    <x v="1"/>
    <s v="Mountain-500 Black, 44"/>
    <n v="4"/>
    <n v="713"/>
    <n v="1120"/>
    <n v="4480"/>
    <n v="2852"/>
    <n v="1628"/>
    <s v="black"/>
    <x v="2"/>
  </r>
  <r>
    <d v="2021-12-19T00:00:00"/>
    <n v="19"/>
    <x v="2"/>
    <n v="2021"/>
    <n v="24"/>
    <x v="2"/>
    <x v="0"/>
    <x v="5"/>
    <x v="29"/>
    <x v="0"/>
    <s v="Road-250 Red, 44"/>
    <n v="4"/>
    <n v="713"/>
    <n v="1120"/>
    <n v="4480"/>
    <n v="2852"/>
    <n v="1628"/>
    <s v="red"/>
    <x v="1"/>
  </r>
  <r>
    <d v="2021-12-19T00:00:00"/>
    <n v="19"/>
    <x v="2"/>
    <n v="2021"/>
    <n v="25"/>
    <x v="1"/>
    <x v="1"/>
    <x v="5"/>
    <x v="23"/>
    <x v="1"/>
    <s v="Mountain-200 Black, 38"/>
    <n v="4"/>
    <n v="713"/>
    <n v="1120"/>
    <n v="4480"/>
    <n v="2852"/>
    <n v="1628"/>
    <s v="black"/>
    <x v="2"/>
  </r>
  <r>
    <d v="2021-12-19T00:00:00"/>
    <n v="19"/>
    <x v="2"/>
    <n v="2021"/>
    <n v="35"/>
    <x v="0"/>
    <x v="0"/>
    <x v="0"/>
    <x v="17"/>
    <x v="1"/>
    <s v="Mountain-100 Black, 48"/>
    <n v="4"/>
    <n v="713"/>
    <n v="1120"/>
    <n v="4480"/>
    <n v="2852"/>
    <n v="1628"/>
    <s v="black"/>
    <x v="2"/>
  </r>
  <r>
    <d v="2021-12-19T00:00:00"/>
    <n v="19"/>
    <x v="2"/>
    <n v="2021"/>
    <n v="37"/>
    <x v="0"/>
    <x v="1"/>
    <x v="0"/>
    <x v="17"/>
    <x v="1"/>
    <s v="Mountain-200 Black, 38"/>
    <n v="4"/>
    <n v="713"/>
    <n v="1120"/>
    <n v="4480"/>
    <n v="2852"/>
    <n v="1628"/>
    <s v="black"/>
    <x v="2"/>
  </r>
  <r>
    <d v="2021-12-19T00:00:00"/>
    <n v="19"/>
    <x v="2"/>
    <n v="2021"/>
    <n v="39"/>
    <x v="0"/>
    <x v="0"/>
    <x v="0"/>
    <x v="0"/>
    <x v="1"/>
    <s v="Mountain-200 Black, 46"/>
    <n v="4"/>
    <n v="713"/>
    <n v="1120"/>
    <n v="4480"/>
    <n v="2852"/>
    <n v="1628"/>
    <s v="black"/>
    <x v="2"/>
  </r>
  <r>
    <d v="2021-12-19T00:00:00"/>
    <n v="19"/>
    <x v="2"/>
    <n v="2021"/>
    <n v="63"/>
    <x v="0"/>
    <x v="0"/>
    <x v="3"/>
    <x v="3"/>
    <x v="1"/>
    <s v="Mountain-200 Black, 46"/>
    <n v="4"/>
    <n v="713"/>
    <n v="1120"/>
    <n v="4480"/>
    <n v="2852"/>
    <n v="1628"/>
    <s v="black"/>
    <x v="2"/>
  </r>
  <r>
    <d v="2021-12-19T00:00:00"/>
    <n v="19"/>
    <x v="2"/>
    <n v="2021"/>
    <n v="50"/>
    <x v="0"/>
    <x v="0"/>
    <x v="4"/>
    <x v="11"/>
    <x v="0"/>
    <s v="Road-550-W Yellow, 42"/>
    <n v="3"/>
    <n v="713"/>
    <n v="1120"/>
    <n v="3360"/>
    <n v="2139"/>
    <n v="1221"/>
    <s v="yellow"/>
    <x v="0"/>
  </r>
  <r>
    <d v="2021-12-19T00:00:00"/>
    <n v="19"/>
    <x v="2"/>
    <n v="2021"/>
    <n v="18"/>
    <x v="2"/>
    <x v="1"/>
    <x v="3"/>
    <x v="4"/>
    <x v="1"/>
    <s v="Mountain-500 Black, 40"/>
    <n v="2"/>
    <n v="713"/>
    <n v="1120"/>
    <n v="2240"/>
    <n v="1426"/>
    <n v="814"/>
    <s v="black"/>
    <x v="2"/>
  </r>
  <r>
    <d v="2021-12-19T00:00:00"/>
    <n v="19"/>
    <x v="2"/>
    <n v="2021"/>
    <n v="56"/>
    <x v="0"/>
    <x v="0"/>
    <x v="4"/>
    <x v="18"/>
    <x v="1"/>
    <s v="Mountain-200 Black, 46"/>
    <n v="2"/>
    <n v="713"/>
    <n v="1120"/>
    <n v="2240"/>
    <n v="1426"/>
    <n v="814"/>
    <s v="black"/>
    <x v="2"/>
  </r>
  <r>
    <d v="2021-12-19T00:00:00"/>
    <n v="19"/>
    <x v="2"/>
    <n v="2021"/>
    <n v="38"/>
    <x v="0"/>
    <x v="1"/>
    <x v="3"/>
    <x v="5"/>
    <x v="0"/>
    <s v="Road-550-W Yellow, 42"/>
    <n v="1"/>
    <n v="713"/>
    <n v="1120"/>
    <n v="1120"/>
    <n v="713"/>
    <n v="407"/>
    <s v="yellow"/>
    <x v="0"/>
  </r>
  <r>
    <d v="2021-12-19T00:00:00"/>
    <n v="19"/>
    <x v="2"/>
    <n v="2021"/>
    <n v="39"/>
    <x v="0"/>
    <x v="0"/>
    <x v="0"/>
    <x v="8"/>
    <x v="1"/>
    <s v="Mountain-200 Silver, 38"/>
    <n v="1"/>
    <n v="713"/>
    <n v="1120"/>
    <n v="1120"/>
    <n v="713"/>
    <n v="407"/>
    <s v="silver"/>
    <x v="3"/>
  </r>
  <r>
    <d v="2021-12-19T00:00:00"/>
    <n v="19"/>
    <x v="2"/>
    <n v="2021"/>
    <n v="57"/>
    <x v="0"/>
    <x v="0"/>
    <x v="3"/>
    <x v="5"/>
    <x v="0"/>
    <s v="Road-350-W Yellow, 44"/>
    <n v="1"/>
    <n v="713"/>
    <n v="1120"/>
    <n v="1120"/>
    <n v="713"/>
    <n v="407"/>
    <s v="yellow"/>
    <x v="0"/>
  </r>
  <r>
    <d v="2021-12-20T00:00:00"/>
    <n v="20"/>
    <x v="2"/>
    <n v="2021"/>
    <n v="33"/>
    <x v="1"/>
    <x v="0"/>
    <x v="3"/>
    <x v="7"/>
    <x v="1"/>
    <s v="Mountain-100 Black, 38"/>
    <n v="4"/>
    <n v="713"/>
    <n v="1120"/>
    <n v="4480"/>
    <n v="2852"/>
    <n v="1628"/>
    <s v="black"/>
    <x v="2"/>
  </r>
  <r>
    <d v="2021-12-20T00:00:00"/>
    <n v="20"/>
    <x v="2"/>
    <n v="2021"/>
    <n v="34"/>
    <x v="1"/>
    <x v="0"/>
    <x v="2"/>
    <x v="2"/>
    <x v="0"/>
    <s v="Road-350-W Yellow, 42"/>
    <n v="4"/>
    <n v="713"/>
    <n v="1120"/>
    <n v="4480"/>
    <n v="2852"/>
    <n v="1628"/>
    <s v="yellow"/>
    <x v="0"/>
  </r>
  <r>
    <d v="2021-12-20T00:00:00"/>
    <n v="20"/>
    <x v="2"/>
    <n v="2021"/>
    <n v="57"/>
    <x v="0"/>
    <x v="1"/>
    <x v="3"/>
    <x v="3"/>
    <x v="1"/>
    <s v="Mountain-200 Black, 46"/>
    <n v="4"/>
    <n v="713"/>
    <n v="1120"/>
    <n v="4480"/>
    <n v="2852"/>
    <n v="1628"/>
    <s v="black"/>
    <x v="2"/>
  </r>
  <r>
    <d v="2021-12-20T00:00:00"/>
    <n v="20"/>
    <x v="2"/>
    <n v="2021"/>
    <n v="29"/>
    <x v="1"/>
    <x v="1"/>
    <x v="1"/>
    <x v="1"/>
    <x v="1"/>
    <s v="Mountain-500 Black, 52"/>
    <n v="3"/>
    <n v="713"/>
    <n v="1120"/>
    <n v="3360"/>
    <n v="2139"/>
    <n v="1221"/>
    <s v="black"/>
    <x v="2"/>
  </r>
  <r>
    <d v="2021-12-20T00:00:00"/>
    <n v="20"/>
    <x v="2"/>
    <n v="2021"/>
    <n v="33"/>
    <x v="1"/>
    <x v="1"/>
    <x v="5"/>
    <x v="30"/>
    <x v="0"/>
    <s v="Road-250 Black, 52"/>
    <n v="3"/>
    <n v="713"/>
    <n v="1120"/>
    <n v="3360"/>
    <n v="2139"/>
    <n v="1221"/>
    <s v="black"/>
    <x v="4"/>
  </r>
  <r>
    <d v="2021-12-20T00:00:00"/>
    <n v="20"/>
    <x v="2"/>
    <n v="2021"/>
    <n v="35"/>
    <x v="0"/>
    <x v="1"/>
    <x v="5"/>
    <x v="24"/>
    <x v="0"/>
    <s v="Road-150 Red, 52"/>
    <n v="3"/>
    <n v="713"/>
    <n v="1120"/>
    <n v="3360"/>
    <n v="2139"/>
    <n v="1221"/>
    <s v="red"/>
    <x v="1"/>
  </r>
  <r>
    <d v="2021-12-20T00:00:00"/>
    <n v="20"/>
    <x v="2"/>
    <n v="2021"/>
    <n v="42"/>
    <x v="0"/>
    <x v="1"/>
    <x v="3"/>
    <x v="5"/>
    <x v="0"/>
    <s v="Road-150 Red, 44"/>
    <n v="3"/>
    <n v="713"/>
    <n v="1120"/>
    <n v="3360"/>
    <n v="2139"/>
    <n v="1221"/>
    <s v="red"/>
    <x v="1"/>
  </r>
  <r>
    <d v="2021-12-20T00:00:00"/>
    <n v="20"/>
    <x v="2"/>
    <n v="2021"/>
    <n v="43"/>
    <x v="0"/>
    <x v="1"/>
    <x v="0"/>
    <x v="0"/>
    <x v="0"/>
    <s v="Road-150 Red, 48"/>
    <n v="2"/>
    <n v="713"/>
    <n v="1120"/>
    <n v="2240"/>
    <n v="1426"/>
    <n v="814"/>
    <s v="red"/>
    <x v="1"/>
  </r>
  <r>
    <d v="2021-12-20T00:00:00"/>
    <n v="20"/>
    <x v="2"/>
    <n v="2021"/>
    <n v="27"/>
    <x v="1"/>
    <x v="0"/>
    <x v="1"/>
    <x v="1"/>
    <x v="0"/>
    <s v="Road-550-W Yellow, 48"/>
    <n v="1"/>
    <n v="713"/>
    <n v="1120"/>
    <n v="1120"/>
    <n v="713"/>
    <n v="407"/>
    <s v="yellow"/>
    <x v="0"/>
  </r>
  <r>
    <d v="2021-12-20T00:00:00"/>
    <n v="20"/>
    <x v="2"/>
    <n v="2021"/>
    <n v="35"/>
    <x v="0"/>
    <x v="0"/>
    <x v="3"/>
    <x v="3"/>
    <x v="1"/>
    <s v="Mountain-200 Silver, 38"/>
    <n v="1"/>
    <n v="713"/>
    <n v="1120"/>
    <n v="1120"/>
    <n v="713"/>
    <n v="407"/>
    <s v="silver"/>
    <x v="3"/>
  </r>
  <r>
    <d v="2021-12-20T00:00:00"/>
    <n v="20"/>
    <x v="2"/>
    <n v="2021"/>
    <n v="35"/>
    <x v="0"/>
    <x v="1"/>
    <x v="3"/>
    <x v="7"/>
    <x v="1"/>
    <s v="Mountain-200 Silver, 38"/>
    <n v="1"/>
    <n v="713"/>
    <n v="1120"/>
    <n v="1120"/>
    <n v="713"/>
    <n v="407"/>
    <s v="silver"/>
    <x v="3"/>
  </r>
  <r>
    <d v="2021-12-20T00:00:00"/>
    <n v="20"/>
    <x v="2"/>
    <n v="2021"/>
    <n v="35"/>
    <x v="0"/>
    <x v="0"/>
    <x v="3"/>
    <x v="3"/>
    <x v="0"/>
    <s v="Road-350-W Yellow, 44"/>
    <n v="1"/>
    <n v="713"/>
    <n v="1120"/>
    <n v="1120"/>
    <n v="713"/>
    <n v="407"/>
    <s v="yellow"/>
    <x v="0"/>
  </r>
  <r>
    <d v="2021-12-20T00:00:00"/>
    <n v="20"/>
    <x v="2"/>
    <n v="2021"/>
    <n v="43"/>
    <x v="0"/>
    <x v="1"/>
    <x v="0"/>
    <x v="8"/>
    <x v="0"/>
    <s v="Road-350-W Yellow, 40"/>
    <n v="1"/>
    <n v="713"/>
    <n v="1120"/>
    <n v="1120"/>
    <n v="713"/>
    <n v="407"/>
    <s v="yellow"/>
    <x v="0"/>
  </r>
  <r>
    <d v="2021-12-20T00:00:00"/>
    <n v="20"/>
    <x v="2"/>
    <n v="2021"/>
    <n v="51"/>
    <x v="0"/>
    <x v="0"/>
    <x v="3"/>
    <x v="5"/>
    <x v="0"/>
    <s v="Road-350-W Yellow, 40"/>
    <n v="1"/>
    <n v="713"/>
    <n v="1120"/>
    <n v="1120"/>
    <n v="713"/>
    <n v="407"/>
    <s v="yellow"/>
    <x v="0"/>
  </r>
  <r>
    <d v="2021-12-21T00:00:00"/>
    <n v="21"/>
    <x v="2"/>
    <n v="2021"/>
    <n v="26"/>
    <x v="1"/>
    <x v="1"/>
    <x v="5"/>
    <x v="28"/>
    <x v="1"/>
    <s v="Mountain-200 Silver, 38"/>
    <n v="3"/>
    <n v="713"/>
    <n v="1120"/>
    <n v="3360"/>
    <n v="2139"/>
    <n v="1221"/>
    <s v="silver"/>
    <x v="3"/>
  </r>
  <r>
    <d v="2021-12-21T00:00:00"/>
    <n v="21"/>
    <x v="2"/>
    <n v="2021"/>
    <n v="23"/>
    <x v="2"/>
    <x v="1"/>
    <x v="2"/>
    <x v="2"/>
    <x v="1"/>
    <s v="Mountain-400-W Silver, 46"/>
    <n v="2"/>
    <n v="713"/>
    <n v="1120"/>
    <n v="2240"/>
    <n v="1426"/>
    <n v="814"/>
    <s v="silver"/>
    <x v="3"/>
  </r>
  <r>
    <d v="2021-12-21T00:00:00"/>
    <n v="21"/>
    <x v="2"/>
    <n v="2021"/>
    <n v="27"/>
    <x v="1"/>
    <x v="0"/>
    <x v="3"/>
    <x v="3"/>
    <x v="0"/>
    <s v="Road-250 Red, 58"/>
    <n v="1"/>
    <n v="713"/>
    <n v="1120"/>
    <n v="1120"/>
    <n v="713"/>
    <n v="407"/>
    <s v="red"/>
    <x v="1"/>
  </r>
  <r>
    <d v="2021-12-22T00:00:00"/>
    <n v="22"/>
    <x v="2"/>
    <n v="2021"/>
    <n v="30"/>
    <x v="1"/>
    <x v="0"/>
    <x v="0"/>
    <x v="8"/>
    <x v="1"/>
    <s v="Mountain-200 Silver, 38"/>
    <n v="3"/>
    <n v="713"/>
    <n v="1120"/>
    <n v="3360"/>
    <n v="2139"/>
    <n v="1221"/>
    <s v="silver"/>
    <x v="3"/>
  </r>
  <r>
    <d v="2021-12-22T00:00:00"/>
    <n v="22"/>
    <x v="2"/>
    <n v="2021"/>
    <n v="40"/>
    <x v="0"/>
    <x v="0"/>
    <x v="2"/>
    <x v="2"/>
    <x v="0"/>
    <s v="Road-750 Black, 58"/>
    <n v="3"/>
    <n v="713"/>
    <n v="1120"/>
    <n v="3360"/>
    <n v="2139"/>
    <n v="1221"/>
    <s v="black"/>
    <x v="4"/>
  </r>
  <r>
    <d v="2021-12-22T00:00:00"/>
    <n v="22"/>
    <x v="2"/>
    <n v="2021"/>
    <n v="41"/>
    <x v="0"/>
    <x v="1"/>
    <x v="0"/>
    <x v="0"/>
    <x v="1"/>
    <s v="Mountain-200 Black, 42"/>
    <n v="3"/>
    <n v="713"/>
    <n v="1120"/>
    <n v="3360"/>
    <n v="2139"/>
    <n v="1221"/>
    <s v="black"/>
    <x v="2"/>
  </r>
  <r>
    <d v="2021-12-22T00:00:00"/>
    <n v="22"/>
    <x v="2"/>
    <n v="2021"/>
    <n v="28"/>
    <x v="1"/>
    <x v="1"/>
    <x v="0"/>
    <x v="0"/>
    <x v="0"/>
    <s v="Road-150 Red, 62"/>
    <n v="2"/>
    <n v="713"/>
    <n v="1120"/>
    <n v="2240"/>
    <n v="1426"/>
    <n v="814"/>
    <s v="red"/>
    <x v="1"/>
  </r>
  <r>
    <d v="2021-12-22T00:00:00"/>
    <n v="22"/>
    <x v="2"/>
    <n v="2021"/>
    <n v="18"/>
    <x v="2"/>
    <x v="1"/>
    <x v="0"/>
    <x v="0"/>
    <x v="0"/>
    <s v="Road-550-W Yellow, 40"/>
    <n v="1"/>
    <n v="713"/>
    <n v="1120"/>
    <n v="1120"/>
    <n v="713"/>
    <n v="407"/>
    <s v="yellow"/>
    <x v="0"/>
  </r>
  <r>
    <d v="2021-12-22T00:00:00"/>
    <n v="22"/>
    <x v="2"/>
    <n v="2021"/>
    <n v="19"/>
    <x v="2"/>
    <x v="0"/>
    <x v="3"/>
    <x v="5"/>
    <x v="1"/>
    <s v="Mountain-500 Silver, 42"/>
    <n v="1"/>
    <n v="713"/>
    <n v="1120"/>
    <n v="1120"/>
    <n v="713"/>
    <n v="407"/>
    <s v="silver"/>
    <x v="3"/>
  </r>
  <r>
    <d v="2021-12-22T00:00:00"/>
    <n v="22"/>
    <x v="2"/>
    <n v="2021"/>
    <n v="25"/>
    <x v="1"/>
    <x v="1"/>
    <x v="5"/>
    <x v="23"/>
    <x v="1"/>
    <s v="Mountain-200 Black, 38"/>
    <n v="1"/>
    <n v="713"/>
    <n v="1120"/>
    <n v="1120"/>
    <n v="713"/>
    <n v="407"/>
    <s v="black"/>
    <x v="2"/>
  </r>
  <r>
    <d v="2021-12-22T00:00:00"/>
    <n v="22"/>
    <x v="2"/>
    <n v="2021"/>
    <n v="27"/>
    <x v="1"/>
    <x v="0"/>
    <x v="1"/>
    <x v="1"/>
    <x v="1"/>
    <s v="Mountain-200 Black, 46"/>
    <n v="1"/>
    <n v="713"/>
    <n v="1120"/>
    <n v="1120"/>
    <n v="713"/>
    <n v="407"/>
    <s v="black"/>
    <x v="2"/>
  </r>
  <r>
    <d v="2021-12-22T00:00:00"/>
    <n v="22"/>
    <x v="2"/>
    <n v="2021"/>
    <n v="28"/>
    <x v="1"/>
    <x v="0"/>
    <x v="0"/>
    <x v="0"/>
    <x v="0"/>
    <s v="Road-750 Black, 44"/>
    <n v="1"/>
    <n v="713"/>
    <n v="1120"/>
    <n v="1120"/>
    <n v="713"/>
    <n v="407"/>
    <s v="black"/>
    <x v="4"/>
  </r>
  <r>
    <d v="2021-12-22T00:00:00"/>
    <n v="22"/>
    <x v="2"/>
    <n v="2021"/>
    <n v="29"/>
    <x v="1"/>
    <x v="0"/>
    <x v="2"/>
    <x v="2"/>
    <x v="0"/>
    <s v="Road-550-W Yellow, 38"/>
    <n v="1"/>
    <n v="713"/>
    <n v="1120"/>
    <n v="1120"/>
    <n v="713"/>
    <n v="407"/>
    <s v="yellow"/>
    <x v="0"/>
  </r>
  <r>
    <d v="2021-12-22T00:00:00"/>
    <n v="22"/>
    <x v="2"/>
    <n v="2021"/>
    <n v="41"/>
    <x v="0"/>
    <x v="1"/>
    <x v="4"/>
    <x v="18"/>
    <x v="1"/>
    <s v="Mountain-200 Silver, 38"/>
    <n v="1"/>
    <n v="713"/>
    <n v="1120"/>
    <n v="1120"/>
    <n v="713"/>
    <n v="407"/>
    <s v="silver"/>
    <x v="3"/>
  </r>
  <r>
    <d v="2021-12-22T00:00:00"/>
    <n v="22"/>
    <x v="2"/>
    <n v="2021"/>
    <n v="42"/>
    <x v="0"/>
    <x v="1"/>
    <x v="2"/>
    <x v="2"/>
    <x v="0"/>
    <s v="Road-650 Red, 58"/>
    <n v="1"/>
    <n v="713"/>
    <n v="1120"/>
    <n v="1120"/>
    <n v="713"/>
    <n v="407"/>
    <s v="red"/>
    <x v="1"/>
  </r>
  <r>
    <d v="2021-12-23T00:00:00"/>
    <n v="23"/>
    <x v="2"/>
    <n v="2021"/>
    <n v="29"/>
    <x v="1"/>
    <x v="1"/>
    <x v="2"/>
    <x v="2"/>
    <x v="0"/>
    <s v="Road-350-W Yellow, 48"/>
    <n v="4"/>
    <n v="713"/>
    <n v="1120"/>
    <n v="4480"/>
    <n v="2852"/>
    <n v="1628"/>
    <s v="yellow"/>
    <x v="0"/>
  </r>
  <r>
    <d v="2021-12-23T00:00:00"/>
    <n v="23"/>
    <x v="2"/>
    <n v="2021"/>
    <n v="23"/>
    <x v="2"/>
    <x v="1"/>
    <x v="0"/>
    <x v="17"/>
    <x v="0"/>
    <s v="Road-350-W Yellow, 42"/>
    <n v="3"/>
    <n v="713"/>
    <n v="1120"/>
    <n v="3360"/>
    <n v="2139"/>
    <n v="1221"/>
    <s v="yellow"/>
    <x v="0"/>
  </r>
  <r>
    <d v="2021-12-23T00:00:00"/>
    <n v="23"/>
    <x v="2"/>
    <n v="2021"/>
    <n v="22"/>
    <x v="2"/>
    <x v="1"/>
    <x v="0"/>
    <x v="0"/>
    <x v="0"/>
    <s v="Road-250 Red, 44"/>
    <n v="2"/>
    <n v="713"/>
    <n v="1120"/>
    <n v="2240"/>
    <n v="1426"/>
    <n v="814"/>
    <s v="red"/>
    <x v="1"/>
  </r>
  <r>
    <d v="2021-12-23T00:00:00"/>
    <n v="23"/>
    <x v="2"/>
    <n v="2021"/>
    <n v="34"/>
    <x v="1"/>
    <x v="1"/>
    <x v="3"/>
    <x v="3"/>
    <x v="0"/>
    <s v="Road-250 Black, 58"/>
    <n v="2"/>
    <n v="713"/>
    <n v="1120"/>
    <n v="2240"/>
    <n v="1426"/>
    <n v="814"/>
    <s v="black"/>
    <x v="4"/>
  </r>
  <r>
    <d v="2021-12-23T00:00:00"/>
    <n v="23"/>
    <x v="2"/>
    <n v="2021"/>
    <n v="34"/>
    <x v="1"/>
    <x v="0"/>
    <x v="3"/>
    <x v="4"/>
    <x v="0"/>
    <s v="Road-550-W Yellow, 40"/>
    <n v="2"/>
    <n v="713"/>
    <n v="1120"/>
    <n v="2240"/>
    <n v="1426"/>
    <n v="814"/>
    <s v="yellow"/>
    <x v="0"/>
  </r>
  <r>
    <d v="2021-12-23T00:00:00"/>
    <n v="23"/>
    <x v="2"/>
    <n v="2021"/>
    <n v="19"/>
    <x v="2"/>
    <x v="1"/>
    <x v="0"/>
    <x v="0"/>
    <x v="0"/>
    <s v="Road-550-W Yellow, 42"/>
    <n v="1"/>
    <n v="713"/>
    <n v="1120"/>
    <n v="1120"/>
    <n v="713"/>
    <n v="407"/>
    <s v="yellow"/>
    <x v="0"/>
  </r>
  <r>
    <d v="2021-12-23T00:00:00"/>
    <n v="23"/>
    <x v="2"/>
    <n v="2021"/>
    <n v="30"/>
    <x v="1"/>
    <x v="0"/>
    <x v="0"/>
    <x v="17"/>
    <x v="1"/>
    <s v="Mountain-200 Silver, 42"/>
    <n v="1"/>
    <n v="713"/>
    <n v="1120"/>
    <n v="1120"/>
    <n v="713"/>
    <n v="407"/>
    <s v="silver"/>
    <x v="3"/>
  </r>
  <r>
    <d v="2021-12-23T00:00:00"/>
    <n v="23"/>
    <x v="2"/>
    <n v="2021"/>
    <n v="31"/>
    <x v="1"/>
    <x v="0"/>
    <x v="1"/>
    <x v="1"/>
    <x v="1"/>
    <s v="Mountain-200 Black, 42"/>
    <n v="1"/>
    <n v="713"/>
    <n v="1120"/>
    <n v="1120"/>
    <n v="713"/>
    <n v="407"/>
    <s v="black"/>
    <x v="2"/>
  </r>
  <r>
    <d v="2021-12-23T00:00:00"/>
    <n v="23"/>
    <x v="2"/>
    <n v="2021"/>
    <n v="35"/>
    <x v="0"/>
    <x v="0"/>
    <x v="0"/>
    <x v="0"/>
    <x v="1"/>
    <s v="Mountain-500 Black, 42"/>
    <n v="1"/>
    <n v="713"/>
    <n v="1120"/>
    <n v="1120"/>
    <n v="713"/>
    <n v="407"/>
    <s v="black"/>
    <x v="2"/>
  </r>
  <r>
    <d v="2021-12-23T00:00:00"/>
    <n v="23"/>
    <x v="2"/>
    <n v="2021"/>
    <n v="37"/>
    <x v="0"/>
    <x v="0"/>
    <x v="5"/>
    <x v="21"/>
    <x v="0"/>
    <s v="Road-150 Red, 48"/>
    <n v="1"/>
    <n v="713"/>
    <n v="1120"/>
    <n v="1120"/>
    <n v="713"/>
    <n v="407"/>
    <s v="red"/>
    <x v="1"/>
  </r>
  <r>
    <d v="2021-12-23T00:00:00"/>
    <n v="23"/>
    <x v="2"/>
    <n v="2021"/>
    <n v="43"/>
    <x v="0"/>
    <x v="1"/>
    <x v="0"/>
    <x v="8"/>
    <x v="0"/>
    <s v="Road-350-W Yellow, 40"/>
    <n v="1"/>
    <n v="713"/>
    <n v="1120"/>
    <n v="1120"/>
    <n v="713"/>
    <n v="407"/>
    <s v="yellow"/>
    <x v="0"/>
  </r>
  <r>
    <d v="2021-12-23T00:00:00"/>
    <n v="23"/>
    <x v="2"/>
    <n v="2021"/>
    <n v="57"/>
    <x v="0"/>
    <x v="0"/>
    <x v="3"/>
    <x v="3"/>
    <x v="0"/>
    <s v="Road-150 Red, 52"/>
    <n v="1"/>
    <n v="713"/>
    <n v="1120"/>
    <n v="1120"/>
    <n v="713"/>
    <n v="407"/>
    <s v="red"/>
    <x v="1"/>
  </r>
  <r>
    <d v="2021-12-24T00:00:00"/>
    <n v="24"/>
    <x v="2"/>
    <n v="2021"/>
    <n v="38"/>
    <x v="0"/>
    <x v="1"/>
    <x v="3"/>
    <x v="3"/>
    <x v="1"/>
    <s v="Mountain-200 Black, 42"/>
    <n v="4"/>
    <n v="713"/>
    <n v="1120"/>
    <n v="4480"/>
    <n v="2852"/>
    <n v="1628"/>
    <s v="black"/>
    <x v="2"/>
  </r>
  <r>
    <d v="2021-12-24T00:00:00"/>
    <n v="24"/>
    <x v="2"/>
    <n v="2021"/>
    <n v="25"/>
    <x v="1"/>
    <x v="1"/>
    <x v="5"/>
    <x v="21"/>
    <x v="1"/>
    <s v="Mountain-200 Silver, 42"/>
    <n v="3"/>
    <n v="713"/>
    <n v="1120"/>
    <n v="3360"/>
    <n v="2139"/>
    <n v="1221"/>
    <s v="silver"/>
    <x v="3"/>
  </r>
  <r>
    <d v="2021-12-24T00:00:00"/>
    <n v="24"/>
    <x v="2"/>
    <n v="2021"/>
    <n v="49"/>
    <x v="0"/>
    <x v="0"/>
    <x v="4"/>
    <x v="11"/>
    <x v="0"/>
    <s v="Road-250 Red, 58"/>
    <n v="3"/>
    <n v="713"/>
    <n v="1120"/>
    <n v="3360"/>
    <n v="2139"/>
    <n v="1221"/>
    <s v="red"/>
    <x v="1"/>
  </r>
  <r>
    <d v="2021-12-24T00:00:00"/>
    <n v="24"/>
    <x v="2"/>
    <n v="2021"/>
    <n v="19"/>
    <x v="2"/>
    <x v="0"/>
    <x v="3"/>
    <x v="4"/>
    <x v="1"/>
    <s v="Mountain-200 Silver, 38"/>
    <n v="2"/>
    <n v="713"/>
    <n v="1120"/>
    <n v="2240"/>
    <n v="1426"/>
    <n v="814"/>
    <s v="silver"/>
    <x v="3"/>
  </r>
  <r>
    <d v="2021-12-24T00:00:00"/>
    <n v="24"/>
    <x v="2"/>
    <n v="2021"/>
    <n v="36"/>
    <x v="0"/>
    <x v="1"/>
    <x v="3"/>
    <x v="3"/>
    <x v="0"/>
    <s v="Road-550-W Yellow, 44"/>
    <n v="2"/>
    <n v="713"/>
    <n v="1120"/>
    <n v="2240"/>
    <n v="1426"/>
    <n v="814"/>
    <s v="yellow"/>
    <x v="0"/>
  </r>
  <r>
    <d v="2021-12-24T00:00:00"/>
    <n v="24"/>
    <x v="2"/>
    <n v="2021"/>
    <n v="24"/>
    <x v="2"/>
    <x v="1"/>
    <x v="2"/>
    <x v="2"/>
    <x v="0"/>
    <s v="Road-750 Black, 44"/>
    <n v="1"/>
    <n v="713"/>
    <n v="1120"/>
    <n v="1120"/>
    <n v="713"/>
    <n v="407"/>
    <s v="black"/>
    <x v="4"/>
  </r>
  <r>
    <d v="2021-12-24T00:00:00"/>
    <n v="24"/>
    <x v="2"/>
    <n v="2021"/>
    <n v="27"/>
    <x v="1"/>
    <x v="1"/>
    <x v="0"/>
    <x v="0"/>
    <x v="0"/>
    <s v="Road-550-W Yellow, 42"/>
    <n v="1"/>
    <n v="713"/>
    <n v="1120"/>
    <n v="1120"/>
    <n v="713"/>
    <n v="407"/>
    <s v="yellow"/>
    <x v="0"/>
  </r>
  <r>
    <d v="2021-12-24T00:00:00"/>
    <n v="24"/>
    <x v="2"/>
    <n v="2021"/>
    <n v="27"/>
    <x v="1"/>
    <x v="0"/>
    <x v="5"/>
    <x v="27"/>
    <x v="0"/>
    <s v="Road-750 Black, 52"/>
    <n v="1"/>
    <n v="713"/>
    <n v="1120"/>
    <n v="1120"/>
    <n v="713"/>
    <n v="407"/>
    <s v="black"/>
    <x v="4"/>
  </r>
  <r>
    <d v="2021-12-24T00:00:00"/>
    <n v="24"/>
    <x v="2"/>
    <n v="2021"/>
    <n v="29"/>
    <x v="1"/>
    <x v="1"/>
    <x v="2"/>
    <x v="2"/>
    <x v="0"/>
    <s v="Road-350-W Yellow, 48"/>
    <n v="1"/>
    <n v="713"/>
    <n v="1120"/>
    <n v="1120"/>
    <n v="713"/>
    <n v="407"/>
    <s v="yellow"/>
    <x v="0"/>
  </r>
  <r>
    <d v="2021-12-24T00:00:00"/>
    <n v="24"/>
    <x v="2"/>
    <n v="2021"/>
    <n v="34"/>
    <x v="1"/>
    <x v="0"/>
    <x v="0"/>
    <x v="0"/>
    <x v="1"/>
    <s v="Mountain-200 Black, 42"/>
    <n v="1"/>
    <n v="713"/>
    <n v="1120"/>
    <n v="1120"/>
    <n v="713"/>
    <n v="407"/>
    <s v="black"/>
    <x v="2"/>
  </r>
  <r>
    <d v="2021-12-24T00:00:00"/>
    <n v="24"/>
    <x v="2"/>
    <n v="2021"/>
    <n v="36"/>
    <x v="0"/>
    <x v="1"/>
    <x v="4"/>
    <x v="18"/>
    <x v="0"/>
    <s v="Road-550-W Yellow, 48"/>
    <n v="1"/>
    <n v="713"/>
    <n v="1120"/>
    <n v="1120"/>
    <n v="713"/>
    <n v="407"/>
    <s v="yellow"/>
    <x v="0"/>
  </r>
  <r>
    <d v="2021-12-24T00:00:00"/>
    <n v="24"/>
    <x v="2"/>
    <n v="2021"/>
    <n v="37"/>
    <x v="0"/>
    <x v="0"/>
    <x v="3"/>
    <x v="7"/>
    <x v="1"/>
    <s v="Mountain-200 Silver, 38"/>
    <n v="1"/>
    <n v="713"/>
    <n v="1120"/>
    <n v="1120"/>
    <n v="713"/>
    <n v="407"/>
    <s v="silver"/>
    <x v="3"/>
  </r>
  <r>
    <d v="2021-12-24T00:00:00"/>
    <n v="24"/>
    <x v="2"/>
    <n v="2021"/>
    <n v="40"/>
    <x v="0"/>
    <x v="0"/>
    <x v="4"/>
    <x v="18"/>
    <x v="1"/>
    <s v="Mountain-200 Black, 46"/>
    <n v="1"/>
    <n v="713"/>
    <n v="1120"/>
    <n v="1120"/>
    <n v="713"/>
    <n v="407"/>
    <s v="black"/>
    <x v="2"/>
  </r>
  <r>
    <d v="2021-12-25T00:00:00"/>
    <n v="25"/>
    <x v="2"/>
    <n v="2021"/>
    <n v="31"/>
    <x v="1"/>
    <x v="1"/>
    <x v="2"/>
    <x v="2"/>
    <x v="0"/>
    <s v="Road-350-W Yellow, 40"/>
    <n v="4"/>
    <n v="713"/>
    <n v="1120"/>
    <n v="4480"/>
    <n v="2852"/>
    <n v="1628"/>
    <s v="yellow"/>
    <x v="0"/>
  </r>
  <r>
    <d v="2021-12-25T00:00:00"/>
    <n v="25"/>
    <x v="2"/>
    <n v="2021"/>
    <n v="25"/>
    <x v="1"/>
    <x v="1"/>
    <x v="4"/>
    <x v="15"/>
    <x v="0"/>
    <s v="Road-250 Black, 52"/>
    <n v="3"/>
    <n v="713"/>
    <n v="1120"/>
    <n v="3360"/>
    <n v="2139"/>
    <n v="1221"/>
    <s v="black"/>
    <x v="4"/>
  </r>
  <r>
    <d v="2021-12-25T00:00:00"/>
    <n v="25"/>
    <x v="2"/>
    <n v="2021"/>
    <n v="37"/>
    <x v="0"/>
    <x v="0"/>
    <x v="4"/>
    <x v="11"/>
    <x v="1"/>
    <s v="Mountain-200 Silver, 38"/>
    <n v="3"/>
    <n v="713"/>
    <n v="1120"/>
    <n v="3360"/>
    <n v="2139"/>
    <n v="1221"/>
    <s v="silver"/>
    <x v="3"/>
  </r>
  <r>
    <d v="2021-12-25T00:00:00"/>
    <n v="25"/>
    <x v="2"/>
    <n v="2021"/>
    <n v="38"/>
    <x v="0"/>
    <x v="0"/>
    <x v="3"/>
    <x v="7"/>
    <x v="1"/>
    <s v="Mountain-200 Silver, 38"/>
    <n v="2"/>
    <n v="713"/>
    <n v="1120"/>
    <n v="2240"/>
    <n v="1426"/>
    <n v="814"/>
    <s v="silver"/>
    <x v="3"/>
  </r>
  <r>
    <d v="2021-12-25T00:00:00"/>
    <n v="25"/>
    <x v="2"/>
    <n v="2021"/>
    <n v="27"/>
    <x v="1"/>
    <x v="0"/>
    <x v="5"/>
    <x v="27"/>
    <x v="0"/>
    <s v="Road-750 Black, 52"/>
    <n v="1"/>
    <n v="713"/>
    <n v="1120"/>
    <n v="1120"/>
    <n v="713"/>
    <n v="407"/>
    <s v="black"/>
    <x v="4"/>
  </r>
  <r>
    <d v="2021-12-25T00:00:00"/>
    <n v="25"/>
    <x v="2"/>
    <n v="2021"/>
    <n v="34"/>
    <x v="1"/>
    <x v="0"/>
    <x v="3"/>
    <x v="3"/>
    <x v="0"/>
    <s v="Road-150 Red, 62"/>
    <n v="1"/>
    <n v="713"/>
    <n v="1120"/>
    <n v="1120"/>
    <n v="713"/>
    <n v="407"/>
    <s v="red"/>
    <x v="1"/>
  </r>
  <r>
    <d v="2021-12-25T00:00:00"/>
    <n v="25"/>
    <x v="2"/>
    <n v="2021"/>
    <n v="44"/>
    <x v="0"/>
    <x v="1"/>
    <x v="0"/>
    <x v="0"/>
    <x v="0"/>
    <s v="Road-750 Black, 48"/>
    <n v="1"/>
    <n v="713"/>
    <n v="1120"/>
    <n v="1120"/>
    <n v="713"/>
    <n v="407"/>
    <s v="black"/>
    <x v="4"/>
  </r>
  <r>
    <d v="2021-12-25T00:00:00"/>
    <n v="25"/>
    <x v="2"/>
    <n v="2021"/>
    <n v="50"/>
    <x v="0"/>
    <x v="1"/>
    <x v="3"/>
    <x v="5"/>
    <x v="0"/>
    <s v="Road-750 Black, 52"/>
    <n v="1"/>
    <n v="713"/>
    <n v="1120"/>
    <n v="1120"/>
    <n v="713"/>
    <n v="407"/>
    <s v="black"/>
    <x v="4"/>
  </r>
  <r>
    <d v="2021-12-26T00:00:00"/>
    <n v="26"/>
    <x v="2"/>
    <n v="2021"/>
    <n v="38"/>
    <x v="0"/>
    <x v="0"/>
    <x v="3"/>
    <x v="3"/>
    <x v="1"/>
    <s v="Mountain-200 Black, 38"/>
    <n v="3"/>
    <n v="713"/>
    <n v="1120"/>
    <n v="3360"/>
    <n v="2139"/>
    <n v="1221"/>
    <s v="black"/>
    <x v="2"/>
  </r>
  <r>
    <d v="2021-12-26T00:00:00"/>
    <n v="26"/>
    <x v="2"/>
    <n v="2021"/>
    <n v="30"/>
    <x v="1"/>
    <x v="1"/>
    <x v="0"/>
    <x v="0"/>
    <x v="1"/>
    <s v="Mountain-400-W Silver, 38"/>
    <n v="2"/>
    <n v="713"/>
    <n v="1120"/>
    <n v="2240"/>
    <n v="1426"/>
    <n v="814"/>
    <s v="silver"/>
    <x v="3"/>
  </r>
  <r>
    <d v="2021-12-26T00:00:00"/>
    <n v="26"/>
    <x v="2"/>
    <n v="2021"/>
    <n v="54"/>
    <x v="0"/>
    <x v="1"/>
    <x v="3"/>
    <x v="7"/>
    <x v="1"/>
    <s v="Mountain-200 Black, 38"/>
    <n v="2"/>
    <n v="713"/>
    <n v="1120"/>
    <n v="2240"/>
    <n v="1426"/>
    <n v="814"/>
    <s v="black"/>
    <x v="2"/>
  </r>
  <r>
    <d v="2021-12-26T00:00:00"/>
    <n v="26"/>
    <x v="2"/>
    <n v="2021"/>
    <n v="24"/>
    <x v="2"/>
    <x v="1"/>
    <x v="1"/>
    <x v="1"/>
    <x v="0"/>
    <s v="Road-350-W Yellow, 48"/>
    <n v="1"/>
    <n v="713"/>
    <n v="1120"/>
    <n v="1120"/>
    <n v="713"/>
    <n v="407"/>
    <s v="yellow"/>
    <x v="0"/>
  </r>
  <r>
    <d v="2021-12-26T00:00:00"/>
    <n v="26"/>
    <x v="2"/>
    <n v="2021"/>
    <n v="25"/>
    <x v="1"/>
    <x v="0"/>
    <x v="2"/>
    <x v="2"/>
    <x v="1"/>
    <s v="Mountain-200 Black, 42"/>
    <n v="1"/>
    <n v="713"/>
    <n v="1120"/>
    <n v="1120"/>
    <n v="713"/>
    <n v="407"/>
    <s v="black"/>
    <x v="2"/>
  </r>
  <r>
    <d v="2021-12-26T00:00:00"/>
    <n v="26"/>
    <x v="2"/>
    <n v="2021"/>
    <n v="28"/>
    <x v="1"/>
    <x v="1"/>
    <x v="5"/>
    <x v="21"/>
    <x v="0"/>
    <s v="Road-250 Red, 44"/>
    <n v="1"/>
    <n v="713"/>
    <n v="1120"/>
    <n v="1120"/>
    <n v="713"/>
    <n v="407"/>
    <s v="red"/>
    <x v="1"/>
  </r>
  <r>
    <d v="2021-12-26T00:00:00"/>
    <n v="26"/>
    <x v="2"/>
    <n v="2021"/>
    <n v="34"/>
    <x v="1"/>
    <x v="1"/>
    <x v="0"/>
    <x v="0"/>
    <x v="1"/>
    <s v="Mountain-500 Black, 40"/>
    <n v="1"/>
    <n v="713"/>
    <n v="1120"/>
    <n v="1120"/>
    <n v="713"/>
    <n v="407"/>
    <s v="black"/>
    <x v="2"/>
  </r>
  <r>
    <d v="2021-12-26T00:00:00"/>
    <n v="26"/>
    <x v="2"/>
    <n v="2021"/>
    <n v="42"/>
    <x v="0"/>
    <x v="1"/>
    <x v="0"/>
    <x v="8"/>
    <x v="0"/>
    <s v="Road-750 Black, 44"/>
    <n v="1"/>
    <n v="713"/>
    <n v="1120"/>
    <n v="1120"/>
    <n v="713"/>
    <n v="407"/>
    <s v="black"/>
    <x v="4"/>
  </r>
  <r>
    <d v="2021-12-27T00:00:00"/>
    <n v="27"/>
    <x v="2"/>
    <n v="2021"/>
    <n v="26"/>
    <x v="1"/>
    <x v="0"/>
    <x v="3"/>
    <x v="7"/>
    <x v="0"/>
    <s v="Road-150 Red, 48"/>
    <n v="4"/>
    <n v="713"/>
    <n v="1120"/>
    <n v="4480"/>
    <n v="2852"/>
    <n v="1628"/>
    <s v="red"/>
    <x v="1"/>
  </r>
  <r>
    <d v="2021-12-27T00:00:00"/>
    <n v="27"/>
    <x v="2"/>
    <n v="2021"/>
    <n v="37"/>
    <x v="0"/>
    <x v="1"/>
    <x v="1"/>
    <x v="1"/>
    <x v="0"/>
    <s v="Road-750 Black, 44"/>
    <n v="2"/>
    <n v="713"/>
    <n v="1120"/>
    <n v="2240"/>
    <n v="1426"/>
    <n v="814"/>
    <s v="black"/>
    <x v="4"/>
  </r>
  <r>
    <d v="2021-12-27T00:00:00"/>
    <n v="27"/>
    <x v="2"/>
    <n v="2021"/>
    <n v="44"/>
    <x v="0"/>
    <x v="1"/>
    <x v="2"/>
    <x v="2"/>
    <x v="1"/>
    <s v="Mountain-200 Silver, 42"/>
    <n v="2"/>
    <n v="713"/>
    <n v="1120"/>
    <n v="2240"/>
    <n v="1426"/>
    <n v="814"/>
    <s v="silver"/>
    <x v="3"/>
  </r>
  <r>
    <d v="2021-12-27T00:00:00"/>
    <n v="27"/>
    <x v="2"/>
    <n v="2021"/>
    <n v="26"/>
    <x v="1"/>
    <x v="1"/>
    <x v="5"/>
    <x v="22"/>
    <x v="0"/>
    <s v="Road-250 Black, 52"/>
    <n v="1"/>
    <n v="713"/>
    <n v="1120"/>
    <n v="1120"/>
    <n v="713"/>
    <n v="407"/>
    <s v="black"/>
    <x v="4"/>
  </r>
  <r>
    <d v="2021-12-27T00:00:00"/>
    <n v="27"/>
    <x v="2"/>
    <n v="2021"/>
    <n v="36"/>
    <x v="0"/>
    <x v="0"/>
    <x v="4"/>
    <x v="18"/>
    <x v="0"/>
    <s v="Road-250 Black, 58"/>
    <n v="1"/>
    <n v="713"/>
    <n v="1120"/>
    <n v="1120"/>
    <n v="713"/>
    <n v="407"/>
    <s v="black"/>
    <x v="4"/>
  </r>
  <r>
    <d v="2021-12-27T00:00:00"/>
    <n v="27"/>
    <x v="2"/>
    <n v="2021"/>
    <n v="38"/>
    <x v="0"/>
    <x v="1"/>
    <x v="3"/>
    <x v="7"/>
    <x v="1"/>
    <s v="Mountain-200 Silver, 42"/>
    <n v="1"/>
    <n v="713"/>
    <n v="1120"/>
    <n v="1120"/>
    <n v="713"/>
    <n v="407"/>
    <s v="silver"/>
    <x v="3"/>
  </r>
  <r>
    <d v="2021-12-27T00:00:00"/>
    <n v="27"/>
    <x v="2"/>
    <n v="2021"/>
    <n v="41"/>
    <x v="0"/>
    <x v="0"/>
    <x v="3"/>
    <x v="7"/>
    <x v="0"/>
    <s v="Road-150 Red, 48"/>
    <n v="1"/>
    <n v="713"/>
    <n v="1120"/>
    <n v="1120"/>
    <n v="713"/>
    <n v="407"/>
    <s v="red"/>
    <x v="1"/>
  </r>
  <r>
    <d v="2021-12-27T00:00:00"/>
    <n v="27"/>
    <x v="2"/>
    <n v="2021"/>
    <n v="42"/>
    <x v="0"/>
    <x v="0"/>
    <x v="0"/>
    <x v="0"/>
    <x v="0"/>
    <s v="Road-250 Black, 52"/>
    <n v="1"/>
    <n v="713"/>
    <n v="1120"/>
    <n v="1120"/>
    <n v="713"/>
    <n v="407"/>
    <s v="black"/>
    <x v="4"/>
  </r>
  <r>
    <d v="2021-12-27T00:00:00"/>
    <n v="27"/>
    <x v="2"/>
    <n v="2021"/>
    <n v="49"/>
    <x v="0"/>
    <x v="1"/>
    <x v="3"/>
    <x v="5"/>
    <x v="0"/>
    <s v="Road-750 Black, 52"/>
    <n v="1"/>
    <n v="713"/>
    <n v="1120"/>
    <n v="1120"/>
    <n v="713"/>
    <n v="407"/>
    <s v="black"/>
    <x v="4"/>
  </r>
  <r>
    <d v="2021-12-28T00:00:00"/>
    <n v="28"/>
    <x v="2"/>
    <n v="2021"/>
    <n v="35"/>
    <x v="0"/>
    <x v="0"/>
    <x v="3"/>
    <x v="5"/>
    <x v="0"/>
    <s v="Road-350-W Yellow, 48"/>
    <n v="4"/>
    <n v="713"/>
    <n v="1120"/>
    <n v="4480"/>
    <n v="2852"/>
    <n v="1628"/>
    <s v="yellow"/>
    <x v="0"/>
  </r>
  <r>
    <d v="2021-12-28T00:00:00"/>
    <n v="28"/>
    <x v="2"/>
    <n v="2021"/>
    <n v="45"/>
    <x v="0"/>
    <x v="0"/>
    <x v="3"/>
    <x v="3"/>
    <x v="0"/>
    <s v="Road-750 Black, 48"/>
    <n v="4"/>
    <n v="713"/>
    <n v="1120"/>
    <n v="4480"/>
    <n v="2852"/>
    <n v="1628"/>
    <s v="black"/>
    <x v="4"/>
  </r>
  <r>
    <d v="2021-12-28T00:00:00"/>
    <n v="28"/>
    <x v="2"/>
    <n v="2021"/>
    <n v="19"/>
    <x v="2"/>
    <x v="1"/>
    <x v="3"/>
    <x v="7"/>
    <x v="1"/>
    <s v="Mountain-500 Silver, 52"/>
    <n v="3"/>
    <n v="713"/>
    <n v="1120"/>
    <n v="3360"/>
    <n v="2139"/>
    <n v="1221"/>
    <s v="silver"/>
    <x v="3"/>
  </r>
  <r>
    <d v="2021-12-28T00:00:00"/>
    <n v="28"/>
    <x v="2"/>
    <n v="2021"/>
    <n v="31"/>
    <x v="1"/>
    <x v="1"/>
    <x v="3"/>
    <x v="5"/>
    <x v="1"/>
    <s v="Mountain-400-W Silver, 42"/>
    <n v="3"/>
    <n v="713"/>
    <n v="1120"/>
    <n v="3360"/>
    <n v="2139"/>
    <n v="1221"/>
    <s v="silver"/>
    <x v="3"/>
  </r>
  <r>
    <d v="2021-12-28T00:00:00"/>
    <n v="28"/>
    <x v="2"/>
    <n v="2021"/>
    <n v="36"/>
    <x v="0"/>
    <x v="1"/>
    <x v="1"/>
    <x v="1"/>
    <x v="0"/>
    <s v="Road-750 Black, 44"/>
    <n v="3"/>
    <n v="713"/>
    <n v="1120"/>
    <n v="3360"/>
    <n v="2139"/>
    <n v="1221"/>
    <s v="black"/>
    <x v="4"/>
  </r>
  <r>
    <d v="2021-12-28T00:00:00"/>
    <n v="28"/>
    <x v="2"/>
    <n v="2021"/>
    <n v="44"/>
    <x v="0"/>
    <x v="0"/>
    <x v="2"/>
    <x v="2"/>
    <x v="1"/>
    <s v="Mountain-200 Black, 38"/>
    <n v="3"/>
    <n v="713"/>
    <n v="1120"/>
    <n v="3360"/>
    <n v="2139"/>
    <n v="1221"/>
    <s v="black"/>
    <x v="2"/>
  </r>
  <r>
    <d v="2021-12-28T00:00:00"/>
    <n v="28"/>
    <x v="2"/>
    <n v="2021"/>
    <n v="30"/>
    <x v="1"/>
    <x v="0"/>
    <x v="0"/>
    <x v="8"/>
    <x v="1"/>
    <s v="Mountain-200 Silver, 38"/>
    <n v="2"/>
    <n v="713"/>
    <n v="1120"/>
    <n v="2240"/>
    <n v="1426"/>
    <n v="814"/>
    <s v="silver"/>
    <x v="3"/>
  </r>
  <r>
    <d v="2021-12-28T00:00:00"/>
    <n v="28"/>
    <x v="2"/>
    <n v="2021"/>
    <n v="34"/>
    <x v="1"/>
    <x v="1"/>
    <x v="3"/>
    <x v="7"/>
    <x v="1"/>
    <s v="Mountain-100 Black, 42"/>
    <n v="1"/>
    <n v="713"/>
    <n v="1120"/>
    <n v="1120"/>
    <n v="713"/>
    <n v="407"/>
    <s v="black"/>
    <x v="2"/>
  </r>
  <r>
    <d v="2021-12-28T00:00:00"/>
    <n v="28"/>
    <x v="2"/>
    <n v="2021"/>
    <n v="39"/>
    <x v="0"/>
    <x v="0"/>
    <x v="0"/>
    <x v="0"/>
    <x v="1"/>
    <s v="Mountain-200 Black, 46"/>
    <n v="1"/>
    <n v="713"/>
    <n v="1120"/>
    <n v="1120"/>
    <n v="713"/>
    <n v="407"/>
    <s v="black"/>
    <x v="2"/>
  </r>
  <r>
    <d v="2021-12-28T00:00:00"/>
    <n v="28"/>
    <x v="2"/>
    <n v="2021"/>
    <n v="46"/>
    <x v="0"/>
    <x v="1"/>
    <x v="4"/>
    <x v="12"/>
    <x v="0"/>
    <s v="Road-650 Red, 58"/>
    <n v="1"/>
    <n v="713"/>
    <n v="1120"/>
    <n v="1120"/>
    <n v="713"/>
    <n v="407"/>
    <s v="red"/>
    <x v="1"/>
  </r>
  <r>
    <d v="2021-12-29T00:00:00"/>
    <n v="29"/>
    <x v="2"/>
    <n v="2021"/>
    <n v="24"/>
    <x v="2"/>
    <x v="0"/>
    <x v="5"/>
    <x v="31"/>
    <x v="0"/>
    <s v="Road-250 Red, 52"/>
    <n v="4"/>
    <n v="713"/>
    <n v="1120"/>
    <n v="4480"/>
    <n v="2852"/>
    <n v="1628"/>
    <s v="red"/>
    <x v="1"/>
  </r>
  <r>
    <d v="2021-12-29T00:00:00"/>
    <n v="29"/>
    <x v="2"/>
    <n v="2021"/>
    <n v="23"/>
    <x v="2"/>
    <x v="0"/>
    <x v="4"/>
    <x v="18"/>
    <x v="0"/>
    <s v="Road-250 Red, 48"/>
    <n v="3"/>
    <n v="713"/>
    <n v="1120"/>
    <n v="3360"/>
    <n v="2139"/>
    <n v="1221"/>
    <s v="red"/>
    <x v="1"/>
  </r>
  <r>
    <d v="2021-12-29T00:00:00"/>
    <n v="29"/>
    <x v="2"/>
    <n v="2021"/>
    <n v="25"/>
    <x v="1"/>
    <x v="1"/>
    <x v="1"/>
    <x v="1"/>
    <x v="0"/>
    <s v="Road-150 Red, 62"/>
    <n v="3"/>
    <n v="713"/>
    <n v="1120"/>
    <n v="3360"/>
    <n v="2139"/>
    <n v="1221"/>
    <s v="red"/>
    <x v="1"/>
  </r>
  <r>
    <d v="2021-12-29T00:00:00"/>
    <n v="29"/>
    <x v="2"/>
    <n v="2021"/>
    <n v="26"/>
    <x v="1"/>
    <x v="0"/>
    <x v="2"/>
    <x v="2"/>
    <x v="0"/>
    <s v="Road-350-W Yellow, 44"/>
    <n v="3"/>
    <n v="713"/>
    <n v="1120"/>
    <n v="3360"/>
    <n v="2139"/>
    <n v="1221"/>
    <s v="yellow"/>
    <x v="0"/>
  </r>
  <r>
    <d v="2021-12-29T00:00:00"/>
    <n v="29"/>
    <x v="2"/>
    <n v="2021"/>
    <n v="30"/>
    <x v="1"/>
    <x v="1"/>
    <x v="5"/>
    <x v="14"/>
    <x v="0"/>
    <s v="Road-550-W Yellow, 38"/>
    <n v="2"/>
    <n v="713"/>
    <n v="1120"/>
    <n v="2240"/>
    <n v="1426"/>
    <n v="814"/>
    <s v="yellow"/>
    <x v="0"/>
  </r>
  <r>
    <d v="2021-12-29T00:00:00"/>
    <n v="29"/>
    <x v="2"/>
    <n v="2021"/>
    <n v="43"/>
    <x v="0"/>
    <x v="1"/>
    <x v="2"/>
    <x v="2"/>
    <x v="1"/>
    <s v="Mountain-200 Silver, 42"/>
    <n v="2"/>
    <n v="713"/>
    <n v="1120"/>
    <n v="2240"/>
    <n v="1426"/>
    <n v="814"/>
    <s v="silver"/>
    <x v="3"/>
  </r>
  <r>
    <d v="2021-12-29T00:00:00"/>
    <n v="29"/>
    <x v="2"/>
    <n v="2021"/>
    <n v="44"/>
    <x v="0"/>
    <x v="0"/>
    <x v="3"/>
    <x v="3"/>
    <x v="0"/>
    <s v="Road-750 Black, 48"/>
    <n v="2"/>
    <n v="713"/>
    <n v="1120"/>
    <n v="2240"/>
    <n v="1426"/>
    <n v="814"/>
    <s v="black"/>
    <x v="4"/>
  </r>
  <r>
    <d v="2021-12-29T00:00:00"/>
    <n v="29"/>
    <x v="2"/>
    <n v="2021"/>
    <n v="22"/>
    <x v="2"/>
    <x v="0"/>
    <x v="0"/>
    <x v="0"/>
    <x v="0"/>
    <s v="Road-750 Black, 44"/>
    <n v="1"/>
    <n v="713"/>
    <n v="1120"/>
    <n v="1120"/>
    <n v="713"/>
    <n v="407"/>
    <s v="black"/>
    <x v="4"/>
  </r>
  <r>
    <d v="2021-12-29T00:00:00"/>
    <n v="29"/>
    <x v="2"/>
    <n v="2021"/>
    <n v="23"/>
    <x v="2"/>
    <x v="0"/>
    <x v="5"/>
    <x v="23"/>
    <x v="0"/>
    <s v="Road-150 Red, 52"/>
    <n v="1"/>
    <n v="713"/>
    <n v="1120"/>
    <n v="1120"/>
    <n v="713"/>
    <n v="407"/>
    <s v="red"/>
    <x v="1"/>
  </r>
  <r>
    <d v="2021-12-29T00:00:00"/>
    <n v="29"/>
    <x v="2"/>
    <n v="2021"/>
    <n v="26"/>
    <x v="1"/>
    <x v="0"/>
    <x v="1"/>
    <x v="1"/>
    <x v="0"/>
    <s v="Road-250 Red, 44"/>
    <n v="1"/>
    <n v="713"/>
    <n v="1120"/>
    <n v="1120"/>
    <n v="713"/>
    <n v="407"/>
    <s v="red"/>
    <x v="1"/>
  </r>
  <r>
    <d v="2021-12-29T00:00:00"/>
    <n v="29"/>
    <x v="2"/>
    <n v="2021"/>
    <n v="34"/>
    <x v="1"/>
    <x v="1"/>
    <x v="2"/>
    <x v="2"/>
    <x v="0"/>
    <s v="Road-550-W Yellow, 44"/>
    <n v="1"/>
    <n v="713"/>
    <n v="1120"/>
    <n v="1120"/>
    <n v="713"/>
    <n v="407"/>
    <s v="yellow"/>
    <x v="0"/>
  </r>
  <r>
    <d v="2021-12-29T00:00:00"/>
    <n v="29"/>
    <x v="2"/>
    <n v="2021"/>
    <n v="35"/>
    <x v="0"/>
    <x v="0"/>
    <x v="4"/>
    <x v="12"/>
    <x v="0"/>
    <s v="Road-350-W Yellow, 44"/>
    <n v="1"/>
    <n v="713"/>
    <n v="1120"/>
    <n v="1120"/>
    <n v="713"/>
    <n v="407"/>
    <s v="yellow"/>
    <x v="0"/>
  </r>
  <r>
    <d v="2021-12-29T00:00:00"/>
    <n v="29"/>
    <x v="2"/>
    <n v="2021"/>
    <n v="43"/>
    <x v="0"/>
    <x v="0"/>
    <x v="3"/>
    <x v="5"/>
    <x v="0"/>
    <s v="Road-150 Red, 56"/>
    <n v="1"/>
    <n v="713"/>
    <n v="1120"/>
    <n v="1120"/>
    <n v="713"/>
    <n v="407"/>
    <s v="red"/>
    <x v="1"/>
  </r>
  <r>
    <d v="2021-12-29T00:00:00"/>
    <n v="29"/>
    <x v="2"/>
    <n v="2021"/>
    <n v="45"/>
    <x v="0"/>
    <x v="0"/>
    <x v="0"/>
    <x v="0"/>
    <x v="0"/>
    <s v="Road-750 Black, 52"/>
    <n v="1"/>
    <n v="713"/>
    <n v="1120"/>
    <n v="1120"/>
    <n v="713"/>
    <n v="407"/>
    <s v="black"/>
    <x v="4"/>
  </r>
  <r>
    <d v="2021-12-30T00:00:00"/>
    <n v="30"/>
    <x v="2"/>
    <n v="2021"/>
    <n v="23"/>
    <x v="2"/>
    <x v="1"/>
    <x v="2"/>
    <x v="2"/>
    <x v="0"/>
    <s v="Road-150 Red, 52"/>
    <n v="3"/>
    <n v="713"/>
    <n v="1120"/>
    <n v="3360"/>
    <n v="2139"/>
    <n v="1221"/>
    <s v="red"/>
    <x v="1"/>
  </r>
  <r>
    <d v="2021-12-30T00:00:00"/>
    <n v="30"/>
    <x v="2"/>
    <n v="2021"/>
    <n v="25"/>
    <x v="1"/>
    <x v="0"/>
    <x v="2"/>
    <x v="2"/>
    <x v="1"/>
    <s v="Mountain-200 Black, 42"/>
    <n v="2"/>
    <n v="713"/>
    <n v="1120"/>
    <n v="2240"/>
    <n v="1426"/>
    <n v="814"/>
    <s v="black"/>
    <x v="2"/>
  </r>
  <r>
    <d v="2021-12-30T00:00:00"/>
    <n v="30"/>
    <x v="2"/>
    <n v="2021"/>
    <n v="24"/>
    <x v="2"/>
    <x v="0"/>
    <x v="5"/>
    <x v="22"/>
    <x v="1"/>
    <s v="Mountain-200 Black, 46"/>
    <n v="1"/>
    <n v="713"/>
    <n v="1120"/>
    <n v="1120"/>
    <n v="713"/>
    <n v="407"/>
    <s v="black"/>
    <x v="2"/>
  </r>
  <r>
    <d v="2021-12-30T00:00:00"/>
    <n v="30"/>
    <x v="2"/>
    <n v="2021"/>
    <n v="29"/>
    <x v="1"/>
    <x v="0"/>
    <x v="3"/>
    <x v="3"/>
    <x v="0"/>
    <s v="Road-250 Black, 44"/>
    <n v="1"/>
    <n v="713"/>
    <n v="1120"/>
    <n v="1120"/>
    <n v="713"/>
    <n v="407"/>
    <s v="black"/>
    <x v="4"/>
  </r>
  <r>
    <d v="2021-12-30T00:00:00"/>
    <n v="30"/>
    <x v="2"/>
    <n v="2021"/>
    <n v="30"/>
    <x v="1"/>
    <x v="1"/>
    <x v="3"/>
    <x v="7"/>
    <x v="0"/>
    <s v="Road-150 Red, 48"/>
    <n v="1"/>
    <n v="713"/>
    <n v="1120"/>
    <n v="1120"/>
    <n v="713"/>
    <n v="407"/>
    <s v="red"/>
    <x v="1"/>
  </r>
  <r>
    <d v="2021-12-30T00:00:00"/>
    <n v="30"/>
    <x v="2"/>
    <n v="2021"/>
    <n v="36"/>
    <x v="0"/>
    <x v="1"/>
    <x v="3"/>
    <x v="3"/>
    <x v="0"/>
    <s v="Road-550-W Yellow, 44"/>
    <n v="1"/>
    <n v="713"/>
    <n v="1120"/>
    <n v="1120"/>
    <n v="713"/>
    <n v="407"/>
    <s v="yellow"/>
    <x v="0"/>
  </r>
  <r>
    <d v="2021-12-30T00:00:00"/>
    <n v="30"/>
    <x v="2"/>
    <n v="2021"/>
    <n v="46"/>
    <x v="0"/>
    <x v="0"/>
    <x v="3"/>
    <x v="5"/>
    <x v="0"/>
    <s v="Road-750 Black, 48"/>
    <n v="1"/>
    <n v="713"/>
    <n v="1120"/>
    <n v="1120"/>
    <n v="713"/>
    <n v="407"/>
    <s v="black"/>
    <x v="4"/>
  </r>
  <r>
    <d v="2021-12-31T00:00:00"/>
    <n v="31"/>
    <x v="2"/>
    <n v="2021"/>
    <n v="32"/>
    <x v="1"/>
    <x v="1"/>
    <x v="5"/>
    <x v="21"/>
    <x v="0"/>
    <s v="Road-150 Red, 56"/>
    <n v="4"/>
    <n v="713"/>
    <n v="1120"/>
    <n v="4480"/>
    <n v="2852"/>
    <n v="1628"/>
    <s v="red"/>
    <x v="1"/>
  </r>
  <r>
    <d v="2021-12-31T00:00:00"/>
    <n v="31"/>
    <x v="2"/>
    <n v="2021"/>
    <n v="36"/>
    <x v="0"/>
    <x v="0"/>
    <x v="3"/>
    <x v="5"/>
    <x v="1"/>
    <s v="Mountain-200 Silver, 42"/>
    <n v="3"/>
    <n v="713"/>
    <n v="1120"/>
    <n v="3360"/>
    <n v="2139"/>
    <n v="1221"/>
    <s v="silver"/>
    <x v="3"/>
  </r>
  <r>
    <d v="2021-12-31T00:00:00"/>
    <n v="31"/>
    <x v="2"/>
    <n v="2021"/>
    <n v="52"/>
    <x v="0"/>
    <x v="0"/>
    <x v="2"/>
    <x v="2"/>
    <x v="0"/>
    <s v="Road-250 Black, 58"/>
    <n v="2"/>
    <n v="713"/>
    <n v="1120"/>
    <n v="2240"/>
    <n v="1426"/>
    <n v="814"/>
    <s v="black"/>
    <x v="4"/>
  </r>
  <r>
    <d v="2021-12-31T00:00:00"/>
    <n v="31"/>
    <x v="2"/>
    <n v="2021"/>
    <n v="25"/>
    <x v="1"/>
    <x v="0"/>
    <x v="4"/>
    <x v="18"/>
    <x v="0"/>
    <s v="Road-550-W Yellow, 38"/>
    <n v="1"/>
    <n v="713"/>
    <n v="1120"/>
    <n v="1120"/>
    <n v="713"/>
    <n v="407"/>
    <s v="yellow"/>
    <x v="0"/>
  </r>
  <r>
    <d v="2021-12-31T00:00:00"/>
    <n v="31"/>
    <x v="2"/>
    <n v="2021"/>
    <n v="26"/>
    <x v="1"/>
    <x v="1"/>
    <x v="3"/>
    <x v="3"/>
    <x v="0"/>
    <s v="Road-550-W Yellow, 42"/>
    <n v="1"/>
    <n v="713"/>
    <n v="1120"/>
    <n v="1120"/>
    <n v="713"/>
    <n v="407"/>
    <s v="yellow"/>
    <x v="0"/>
  </r>
  <r>
    <d v="2021-12-31T00:00:00"/>
    <n v="31"/>
    <x v="2"/>
    <n v="2021"/>
    <n v="33"/>
    <x v="1"/>
    <x v="0"/>
    <x v="3"/>
    <x v="5"/>
    <x v="1"/>
    <s v="Mountain-200 Black, 38"/>
    <n v="1"/>
    <n v="713"/>
    <n v="1120"/>
    <n v="1120"/>
    <n v="713"/>
    <n v="407"/>
    <s v="black"/>
    <x v="2"/>
  </r>
  <r>
    <d v="2021-12-31T00:00:00"/>
    <n v="31"/>
    <x v="2"/>
    <n v="2021"/>
    <n v="44"/>
    <x v="0"/>
    <x v="1"/>
    <x v="3"/>
    <x v="7"/>
    <x v="0"/>
    <s v="Road-550-W Yellow, 42"/>
    <n v="1"/>
    <n v="713"/>
    <n v="1120"/>
    <n v="1120"/>
    <n v="713"/>
    <n v="407"/>
    <s v="yellow"/>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A502CA-ADC7-444D-A5D5-3203A66956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19">
    <pivotField numFmtId="14"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dataField="1" showAll="0"/>
    <pivotField numFmtId="164" showAll="0"/>
    <pivotField numFmtId="164" showAll="0"/>
    <pivotField numFmtId="164" showAll="0"/>
    <pivotField numFmtId="164" showAll="0"/>
    <pivotField numFmtId="164" showAll="0"/>
    <pivotField showAll="0"/>
    <pivotField showAll="0"/>
  </pivotFields>
  <rowFields count="1">
    <field x="6"/>
  </rowFields>
  <rowItems count="3">
    <i>
      <x/>
    </i>
    <i>
      <x v="1"/>
    </i>
    <i t="grand">
      <x/>
    </i>
  </rowItems>
  <colItems count="1">
    <i/>
  </colItems>
  <dataFields count="1">
    <dataField name="Sum of Order_Quantity" fld="11"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1"/>
          </reference>
        </references>
      </pivotArea>
    </chartFormat>
    <chartFormat chart="3" format="2">
      <pivotArea type="data" outline="0" fieldPosition="0">
        <references count="2">
          <reference field="4294967294" count="1" selected="0">
            <x v="0"/>
          </reference>
          <reference field="6"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6" count="1" selected="0">
            <x v="0"/>
          </reference>
        </references>
      </pivotArea>
    </chartFormat>
    <chartFormat chart="13"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89C1F7-79DA-4DC7-BA57-EB334A4F97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9">
    <pivotField numFmtId="14"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dataField="1" numFmtId="164" showAll="0"/>
    <pivotField showAll="0"/>
    <pivotField showAll="0"/>
  </pivotFields>
  <rowFields count="1">
    <field x="2"/>
  </rowFields>
  <rowItems count="4">
    <i>
      <x v="1"/>
    </i>
    <i>
      <x/>
    </i>
    <i>
      <x v="2"/>
    </i>
    <i t="grand">
      <x/>
    </i>
  </rowItems>
  <colItems count="1">
    <i/>
  </colItems>
  <dataFields count="1">
    <dataField name="Sum of total profit" fld="16" baseField="0" baseItem="0"/>
  </dataFields>
  <chartFormats count="3">
    <chartFormat chart="0"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AA9602-44E8-4DA1-970D-4246FCFCFAD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0" firstHeaderRow="1" firstDataRow="1" firstDataCol="1"/>
  <pivotFields count="19">
    <pivotField numFmtId="14" showAll="0"/>
    <pivotField showAll="0"/>
    <pivotField showAll="0"/>
    <pivotField showAll="0"/>
    <pivotField showAll="0"/>
    <pivotField showAll="0"/>
    <pivotField showAll="0"/>
    <pivotField axis="axisRow" showAll="0" sortType="descending">
      <items count="7">
        <item x="3"/>
        <item x="1"/>
        <item x="5"/>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64" showAll="0"/>
    <pivotField numFmtId="164" showAll="0"/>
    <pivotField numFmtId="164" showAll="0"/>
    <pivotField dataField="1" numFmtId="164" showAll="0"/>
    <pivotField showAll="0"/>
    <pivotField showAll="0"/>
  </pivotFields>
  <rowFields count="1">
    <field x="7"/>
  </rowFields>
  <rowItems count="7">
    <i>
      <x/>
    </i>
    <i>
      <x v="5"/>
    </i>
    <i>
      <x v="4"/>
    </i>
    <i>
      <x v="2"/>
    </i>
    <i>
      <x v="3"/>
    </i>
    <i>
      <x v="1"/>
    </i>
    <i t="grand">
      <x/>
    </i>
  </rowItems>
  <colItems count="1">
    <i/>
  </colItems>
  <dataFields count="1">
    <dataField name="Sum of total profit" fld="16" baseField="0" baseItem="0"/>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D19D26-B828-440E-A2DD-1BF2E263B370}"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6">
  <location ref="A3:C14" firstHeaderRow="2" firstDataRow="2" firstDataCol="2"/>
  <pivotFields count="19">
    <pivotField compact="0" numFmtId="14" outline="0" showAll="0"/>
    <pivotField compact="0" outline="0" showAll="0"/>
    <pivotField compact="0" outline="0" showAll="0"/>
    <pivotField compact="0" outline="0" showAll="0"/>
    <pivotField compact="0" outline="0" showAll="0"/>
    <pivotField axis="axisRow" compact="0" outline="0"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164" outline="0" showAll="0"/>
    <pivotField compact="0" numFmtId="164" outline="0" showAll="0"/>
    <pivotField dataField="1" compact="0" numFmtId="164" outline="0" showAll="0"/>
    <pivotField compact="0" outline="0" showAll="0"/>
    <pivotField compact="0" outline="0" showAll="0"/>
  </pivotFields>
  <rowFields count="2">
    <field x="6"/>
    <field x="5"/>
  </rowFields>
  <rowItems count="10">
    <i>
      <x/>
      <x/>
    </i>
    <i r="1">
      <x v="2"/>
    </i>
    <i r="1">
      <x v="3"/>
    </i>
    <i t="default">
      <x/>
    </i>
    <i>
      <x v="1"/>
      <x/>
    </i>
    <i r="1">
      <x v="2"/>
    </i>
    <i r="1">
      <x v="3"/>
    </i>
    <i r="1">
      <x v="1"/>
    </i>
    <i t="default">
      <x v="1"/>
    </i>
    <i t="grand">
      <x/>
    </i>
  </rowItems>
  <colItems count="1">
    <i/>
  </colItems>
  <dataFields count="1">
    <dataField name="Sum of total profit" fld="16" baseField="0" baseItem="0"/>
  </dataFields>
  <chartFormats count="11">
    <chartFormat chart="0" format="4" series="1">
      <pivotArea type="data" outline="0" fieldPosition="0"/>
    </chartFormat>
    <chartFormat chart="0" format="5" series="1">
      <pivotArea type="data" outline="0" fieldPosition="0">
        <references count="1">
          <reference field="4294967294" count="1" selected="0">
            <x v="0"/>
          </reference>
        </references>
      </pivotArea>
    </chartFormat>
    <chartFormat chart="0" format="6">
      <pivotArea type="data" outline="0" fieldPosition="0">
        <references count="3">
          <reference field="4294967294" count="1" selected="0">
            <x v="0"/>
          </reference>
          <reference field="5" count="1" selected="0">
            <x v="1"/>
          </reference>
          <reference field="6" count="1" selected="0">
            <x v="1"/>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3">
          <reference field="4294967294" count="1" selected="0">
            <x v="0"/>
          </reference>
          <reference field="5" count="1" selected="0">
            <x v="1"/>
          </reference>
          <reference field="6" count="1" selected="0">
            <x v="1"/>
          </reference>
        </references>
      </pivotArea>
    </chartFormat>
    <chartFormat chart="23" format="10">
      <pivotArea type="data" outline="0" fieldPosition="0">
        <references count="3">
          <reference field="4294967294" count="1" selected="0">
            <x v="0"/>
          </reference>
          <reference field="5" count="1" selected="0">
            <x v="3"/>
          </reference>
          <reference field="6" count="1" selected="0">
            <x v="1"/>
          </reference>
        </references>
      </pivotArea>
    </chartFormat>
    <chartFormat chart="23" format="11">
      <pivotArea type="data" outline="0" fieldPosition="0">
        <references count="3">
          <reference field="4294967294" count="1" selected="0">
            <x v="0"/>
          </reference>
          <reference field="5" count="1" selected="0">
            <x v="2"/>
          </reference>
          <reference field="6" count="1" selected="0">
            <x v="1"/>
          </reference>
        </references>
      </pivotArea>
    </chartFormat>
    <chartFormat chart="23" format="12">
      <pivotArea type="data" outline="0" fieldPosition="0">
        <references count="3">
          <reference field="4294967294" count="1" selected="0">
            <x v="0"/>
          </reference>
          <reference field="5" count="1" selected="0">
            <x v="0"/>
          </reference>
          <reference field="6" count="1" selected="0">
            <x v="1"/>
          </reference>
        </references>
      </pivotArea>
    </chartFormat>
    <chartFormat chart="23" format="13">
      <pivotArea type="data" outline="0" fieldPosition="0">
        <references count="3">
          <reference field="4294967294" count="1" selected="0">
            <x v="0"/>
          </reference>
          <reference field="5" count="1" selected="0">
            <x v="3"/>
          </reference>
          <reference field="6" count="1" selected="0">
            <x v="0"/>
          </reference>
        </references>
      </pivotArea>
    </chartFormat>
    <chartFormat chart="23" format="14">
      <pivotArea type="data" outline="0" fieldPosition="0">
        <references count="3">
          <reference field="4294967294" count="1" selected="0">
            <x v="0"/>
          </reference>
          <reference field="5" count="1" selected="0">
            <x v="2"/>
          </reference>
          <reference field="6" count="1" selected="0">
            <x v="0"/>
          </reference>
        </references>
      </pivotArea>
    </chartFormat>
    <chartFormat chart="23" format="15">
      <pivotArea type="data" outline="0" fieldPosition="0">
        <references count="3">
          <reference field="4294967294" count="1" selected="0">
            <x v="0"/>
          </reference>
          <reference field="5"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6AAFA6-88A5-4DE1-9936-B46458207AD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25" firstHeaderRow="1" firstDataRow="1" firstDataCol="1"/>
  <pivotFields count="19">
    <pivotField numFmtId="14" showAll="0"/>
    <pivotField showAll="0"/>
    <pivotField showAll="0"/>
    <pivotField showAll="0"/>
    <pivotField showAll="0"/>
    <pivotField showAll="0"/>
    <pivotField showAll="0"/>
    <pivotField showAll="0"/>
    <pivotField axis="axisRow" showAll="0" sortType="ascending">
      <items count="33">
        <item x="15"/>
        <item x="26"/>
        <item x="1"/>
        <item x="0"/>
        <item x="30"/>
        <item x="2"/>
        <item x="22"/>
        <item x="29"/>
        <item x="6"/>
        <item x="9"/>
        <item x="18"/>
        <item x="13"/>
        <item x="24"/>
        <item x="14"/>
        <item x="5"/>
        <item x="10"/>
        <item x="11"/>
        <item x="17"/>
        <item x="31"/>
        <item x="3"/>
        <item x="12"/>
        <item x="23"/>
        <item x="25"/>
        <item x="21"/>
        <item x="28"/>
        <item x="4"/>
        <item x="16"/>
        <item x="20"/>
        <item x="19"/>
        <item x="7"/>
        <item x="8"/>
        <item x="27"/>
        <item t="default"/>
      </items>
      <autoSortScope>
        <pivotArea dataOnly="0" outline="0" fieldPosition="0">
          <references count="1">
            <reference field="4294967294" count="1" selected="0">
              <x v="0"/>
            </reference>
          </references>
        </pivotArea>
      </autoSortScope>
    </pivotField>
    <pivotField showAll="0">
      <items count="3">
        <item x="1"/>
        <item h="1" x="0"/>
        <item t="default"/>
      </items>
    </pivotField>
    <pivotField showAll="0"/>
    <pivotField showAll="0"/>
    <pivotField numFmtId="164" showAll="0"/>
    <pivotField numFmtId="164" showAll="0"/>
    <pivotField numFmtId="164" showAll="0"/>
    <pivotField numFmtId="164" showAll="0"/>
    <pivotField dataField="1" numFmtId="164" showAll="0"/>
    <pivotField showAll="0"/>
    <pivotField showAll="0">
      <items count="6">
        <item h="1" x="2"/>
        <item x="3"/>
        <item h="1" x="4"/>
        <item h="1" x="1"/>
        <item h="1" x="0"/>
        <item t="default"/>
      </items>
    </pivotField>
  </pivotFields>
  <rowFields count="1">
    <field x="8"/>
  </rowFields>
  <rowItems count="22">
    <i>
      <x v="9"/>
    </i>
    <i>
      <x v="20"/>
    </i>
    <i>
      <x v="22"/>
    </i>
    <i>
      <x v="13"/>
    </i>
    <i>
      <x v="17"/>
    </i>
    <i>
      <x v="24"/>
    </i>
    <i>
      <x/>
    </i>
    <i>
      <x v="21"/>
    </i>
    <i>
      <x v="8"/>
    </i>
    <i>
      <x v="15"/>
    </i>
    <i>
      <x v="2"/>
    </i>
    <i>
      <x v="25"/>
    </i>
    <i>
      <x v="10"/>
    </i>
    <i>
      <x v="23"/>
    </i>
    <i>
      <x v="16"/>
    </i>
    <i>
      <x v="29"/>
    </i>
    <i>
      <x v="19"/>
    </i>
    <i>
      <x v="5"/>
    </i>
    <i>
      <x v="30"/>
    </i>
    <i>
      <x v="14"/>
    </i>
    <i>
      <x v="3"/>
    </i>
    <i t="grand">
      <x/>
    </i>
  </rowItems>
  <colItems count="1">
    <i/>
  </colItems>
  <dataFields count="1">
    <dataField name="Sum of total profit" fld="16"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4"/>
          </reference>
        </references>
      </pivotArea>
    </chartFormat>
    <chartFormat chart="15" format="3"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1A9CC6-2E9E-471E-9F9F-918CD27924B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9" firstHeaderRow="1" firstDataRow="2" firstDataCol="1"/>
  <pivotFields count="19">
    <pivotField numFmtId="14" showAll="0"/>
    <pivotField showAll="0"/>
    <pivotField showAll="0"/>
    <pivotField showAll="0"/>
    <pivotField showAll="0"/>
    <pivotField axis="axisRow" showAll="0" sortType="a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dataField="1" showAll="0">
      <items count="3">
        <item x="1"/>
        <item x="0"/>
        <item t="default"/>
      </items>
    </pivotField>
    <pivotField showAll="0"/>
    <pivotField showAll="0"/>
    <pivotField numFmtId="164" showAll="0"/>
    <pivotField numFmtId="164" showAll="0"/>
    <pivotField numFmtId="164" showAll="0"/>
    <pivotField numFmtId="164" showAll="0"/>
    <pivotField numFmtId="164" showAll="0"/>
    <pivotField showAll="0"/>
    <pivotField showAll="0"/>
  </pivotFields>
  <rowFields count="1">
    <field x="5"/>
  </rowFields>
  <rowItems count="5">
    <i>
      <x v="1"/>
    </i>
    <i>
      <x v="3"/>
    </i>
    <i>
      <x v="2"/>
    </i>
    <i>
      <x/>
    </i>
    <i t="grand">
      <x/>
    </i>
  </rowItems>
  <colFields count="1">
    <field x="9"/>
  </colFields>
  <colItems count="3">
    <i>
      <x/>
    </i>
    <i>
      <x v="1"/>
    </i>
    <i t="grand">
      <x/>
    </i>
  </colItems>
  <dataFields count="1">
    <dataField name="Count of Sub_Category" fld="9" subtotal="count" baseField="0" baseItem="0"/>
  </dataFields>
  <chartFormats count="1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2">
          <reference field="4294967294" count="1" selected="0">
            <x v="0"/>
          </reference>
          <reference field="9" count="1" selected="0">
            <x v="1"/>
          </reference>
        </references>
      </pivotArea>
    </chartFormat>
    <chartFormat chart="2" format="1" series="1">
      <pivotArea type="data" outline="0" fieldPosition="0">
        <references count="2">
          <reference field="4294967294" count="1" selected="0">
            <x v="0"/>
          </reference>
          <reference field="9" count="1" selected="0">
            <x v="1"/>
          </reference>
        </references>
      </pivotArea>
    </chartFormat>
    <chartFormat chart="1" format="1" series="1">
      <pivotArea type="data" outline="0" fieldPosition="0">
        <references count="2">
          <reference field="4294967294" count="1" selected="0">
            <x v="0"/>
          </reference>
          <reference field="9" count="1" selected="0">
            <x v="1"/>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4" format="0" series="1">
      <pivotArea type="data" outline="0" fieldPosition="0">
        <references count="2">
          <reference field="4294967294" count="1" selected="0">
            <x v="0"/>
          </reference>
          <reference field="9" count="1" selected="0">
            <x v="0"/>
          </reference>
        </references>
      </pivotArea>
    </chartFormat>
    <chartFormat chart="4" format="1" series="1">
      <pivotArea type="data" outline="0" fieldPosition="0">
        <references count="2">
          <reference field="4294967294" count="1" selected="0">
            <x v="0"/>
          </reference>
          <reference field="9" count="1" selected="0">
            <x v="1"/>
          </reference>
        </references>
      </pivotArea>
    </chartFormat>
    <chartFormat chart="16" format="4" series="1">
      <pivotArea type="data" outline="0" fieldPosition="0">
        <references count="2">
          <reference field="4294967294" count="1" selected="0">
            <x v="0"/>
          </reference>
          <reference field="9" count="1" selected="0">
            <x v="0"/>
          </reference>
        </references>
      </pivotArea>
    </chartFormat>
    <chartFormat chart="16"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E100C8-C8EE-442A-8AB5-77FC03F4292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25" firstHeaderRow="1" firstDataRow="1" firstDataCol="1"/>
  <pivotFields count="19">
    <pivotField numFmtId="14" showAll="0"/>
    <pivotField showAll="0"/>
    <pivotField showAll="0"/>
    <pivotField showAll="0"/>
    <pivotField showAll="0"/>
    <pivotField showAll="0"/>
    <pivotField showAll="0"/>
    <pivotField showAll="0"/>
    <pivotField axis="axisRow" showAll="0" sortType="ascending">
      <items count="33">
        <item x="15"/>
        <item x="26"/>
        <item x="1"/>
        <item x="0"/>
        <item x="30"/>
        <item x="2"/>
        <item x="22"/>
        <item x="29"/>
        <item x="6"/>
        <item x="9"/>
        <item x="18"/>
        <item x="13"/>
        <item x="24"/>
        <item x="14"/>
        <item x="5"/>
        <item x="10"/>
        <item x="11"/>
        <item x="17"/>
        <item x="31"/>
        <item x="3"/>
        <item x="12"/>
        <item x="23"/>
        <item x="25"/>
        <item x="21"/>
        <item x="28"/>
        <item x="4"/>
        <item x="16"/>
        <item x="20"/>
        <item x="19"/>
        <item x="7"/>
        <item x="8"/>
        <item x="27"/>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164" showAll="0"/>
    <pivotField numFmtId="164" showAll="0"/>
    <pivotField numFmtId="164" showAll="0"/>
    <pivotField showAll="0"/>
    <pivotField dataField="1" showAll="0">
      <items count="6">
        <item h="1" x="2"/>
        <item x="3"/>
        <item h="1" x="4"/>
        <item h="1" x="1"/>
        <item h="1" x="0"/>
        <item t="default"/>
      </items>
    </pivotField>
  </pivotFields>
  <rowFields count="1">
    <field x="8"/>
  </rowFields>
  <rowItems count="22">
    <i>
      <x/>
    </i>
    <i>
      <x v="24"/>
    </i>
    <i>
      <x v="20"/>
    </i>
    <i>
      <x v="13"/>
    </i>
    <i>
      <x v="21"/>
    </i>
    <i>
      <x v="9"/>
    </i>
    <i>
      <x v="22"/>
    </i>
    <i>
      <x v="15"/>
    </i>
    <i>
      <x v="8"/>
    </i>
    <i>
      <x v="17"/>
    </i>
    <i>
      <x v="10"/>
    </i>
    <i>
      <x v="2"/>
    </i>
    <i>
      <x v="23"/>
    </i>
    <i>
      <x v="25"/>
    </i>
    <i>
      <x v="16"/>
    </i>
    <i>
      <x v="19"/>
    </i>
    <i>
      <x v="29"/>
    </i>
    <i>
      <x v="5"/>
    </i>
    <i>
      <x v="30"/>
    </i>
    <i>
      <x v="14"/>
    </i>
    <i>
      <x v="3"/>
    </i>
    <i t="grand">
      <x/>
    </i>
  </rowItems>
  <colItems count="1">
    <i/>
  </colItems>
  <dataFields count="1">
    <dataField name="Count of category by colour " fld="18" subtotal="count" baseField="0" baseItem="0"/>
  </dataFields>
  <chartFormats count="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29"/>
          </reference>
        </references>
      </pivotArea>
    </chartFormat>
    <chartFormat chart="2" format="2">
      <pivotArea type="data" outline="0" fieldPosition="0">
        <references count="2">
          <reference field="4294967294" count="1" selected="0">
            <x v="0"/>
          </reference>
          <reference field="8" count="1" selected="0">
            <x v="30"/>
          </reference>
        </references>
      </pivotArea>
    </chartFormat>
    <chartFormat chart="2" format="3">
      <pivotArea type="data" outline="0" fieldPosition="0">
        <references count="2">
          <reference field="4294967294" count="1" selected="0">
            <x v="0"/>
          </reference>
          <reference field="8" count="1" selected="0">
            <x v="19"/>
          </reference>
        </references>
      </pivotArea>
    </chartFormat>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8" count="1" selected="0">
            <x v="19"/>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8" count="1" selected="0">
            <x v="19"/>
          </reference>
        </references>
      </pivotArea>
    </chartFormat>
    <chartFormat chart="2" format="4">
      <pivotArea type="data" outline="0" fieldPosition="0">
        <references count="2">
          <reference field="4294967294" count="1" selected="0">
            <x v="0"/>
          </reference>
          <reference field="8"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by_colour" xr10:uid="{5D434681-4210-47F4-9A12-2A64E81C4421}" sourceName="category by colour ">
  <pivotTables>
    <pivotTable tabId="11" name="PivotTable15"/>
    <pivotTable tabId="7" name="PivotTable8"/>
  </pivotTables>
  <data>
    <tabular pivotCacheId="1995626687">
      <items count="5">
        <i x="2"/>
        <i x="3" s="1"/>
        <i x="4"/>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9F9B036-EE9E-4D75-8797-13009A9E367F}" sourceName="Sub_Category">
  <pivotTables>
    <pivotTable tabId="7" name="PivotTable8"/>
  </pivotTables>
  <data>
    <tabular pivotCacheId="1995626687">
      <items count="2">
        <i x="1" s="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_Category" xr10:uid="{7A752B74-6453-4283-94EB-ECC834CAD7BE}" cache="Slicer_Sub_Category" caption="Sub_Category"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by colour " xr10:uid="{333B79BC-E6A1-4B73-83A5-03933B7A401E}" cache="Slicer_category_by_colour" caption="category by colour " style="SlicerStyleOther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by colour  1" xr10:uid="{A73764C7-7536-4060-A906-A126D4F296F3}" cache="Slicer_category_by_colour" caption="category by colour " columnCount="2" style="SlicerStyleOther2" rowHeight="1371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457BB5-90B0-468F-9462-684CC6286A3A}" name="Table1" displayName="Table1" ref="A1:S753" totalsRowShown="0" headerRowDxfId="8">
  <autoFilter ref="A1:S753" xr:uid="{B6457BB5-90B0-468F-9462-684CC6286A3A}"/>
  <tableColumns count="19">
    <tableColumn id="1" xr3:uid="{1244E01D-BDA2-4E3A-BFA0-C7D022A4398D}" name="Date" dataDxfId="7"/>
    <tableColumn id="2" xr3:uid="{E49900F0-5A57-40D3-8D4F-6453A56B7909}" name="Day"/>
    <tableColumn id="3" xr3:uid="{F7DC1968-9CDB-405A-B967-92287B70F440}" name="Month"/>
    <tableColumn id="4" xr3:uid="{5F94F6FD-6495-478E-9B8F-3285AC6C74E2}" name="Year"/>
    <tableColumn id="5" xr3:uid="{21C05D3B-A3B2-4775-97E9-CA840F7C2421}" name="Customer_Age"/>
    <tableColumn id="6" xr3:uid="{8A7991CD-5993-439E-BB42-CEFD424D9FB6}" name="Age_Group"/>
    <tableColumn id="7" xr3:uid="{E5C2EC82-B581-4579-97A2-6E360669914C}" name="CustoMaleer_Gender"/>
    <tableColumn id="8" xr3:uid="{7F7AB04B-0AF3-4A46-8492-8DEE7EAA75EC}" name="Country"/>
    <tableColumn id="9" xr3:uid="{736C44B1-25B2-48D4-8CD3-43EC7C43AB74}" name="State"/>
    <tableColumn id="10" xr3:uid="{76F8E966-3990-41AD-A3C0-9DD0C6F4AD67}" name="Sub_Category"/>
    <tableColumn id="11" xr3:uid="{9D22E623-E5E7-43B9-9B36-42A2DEEAF3FD}" name="Product"/>
    <tableColumn id="12" xr3:uid="{F4D4D6D4-50EB-4333-A8E8-9CB7F2A7A04C}" name="Order_Quantity"/>
    <tableColumn id="13" xr3:uid="{7B9F2E0A-925D-4C1C-97DC-C082218568E4}" name="Unit_Cost" dataDxfId="6"/>
    <tableColumn id="14" xr3:uid="{86045639-85B3-48B2-BBC7-6A73E6CC669A}" name="Unit_Price" dataDxfId="5"/>
    <tableColumn id="15" xr3:uid="{C830EBBD-96C2-4A1E-B8FD-B41F3C54F473}" name="total sales" dataDxfId="4">
      <calculatedColumnFormula>Table1[[#This Row],[Unit_Price]]*Table1[[#This Row],[Order_Quantity]]</calculatedColumnFormula>
    </tableColumn>
    <tableColumn id="16" xr3:uid="{86961677-D889-409B-87BD-17A5C4418339}" name="total cost" dataDxfId="3">
      <calculatedColumnFormula>Table1[[#This Row],[Unit_Cost]]*Table1[[#This Row],[Order_Quantity]]</calculatedColumnFormula>
    </tableColumn>
    <tableColumn id="17" xr3:uid="{B745BE2B-B962-4421-B8A9-439A239B0DCA}" name="total profit" dataDxfId="2">
      <calculatedColumnFormula>Table1[[#This Row],[total sales]]-Table1[[#This Row],[total cost]]</calculatedColumnFormula>
    </tableColumn>
    <tableColumn id="18" xr3:uid="{BC6871FC-944E-45D7-9505-56FA3C705451}" name="bike colour" dataDxfId="1"/>
    <tableColumn id="19" xr3:uid="{B8B167C6-FC1F-471C-8757-2310B5117ADF}" name="category by colour " dataDxfId="0">
      <calculatedColumnFormula>_xlfn.CONCAT(Table1[[#This Row],[Sub_Category]],"-",Table1[[#This Row],[bike colour]])</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2ED28-A061-4A2E-80C3-3455CAC65B0D}">
  <dimension ref="A3:B6"/>
  <sheetViews>
    <sheetView workbookViewId="0">
      <selection activeCell="B28" sqref="B28"/>
    </sheetView>
  </sheetViews>
  <sheetFormatPr defaultRowHeight="14.4" x14ac:dyDescent="0.3"/>
  <cols>
    <col min="1" max="1" width="12.5546875" bestFit="1" customWidth="1"/>
    <col min="2" max="2" width="20.77734375" bestFit="1" customWidth="1"/>
  </cols>
  <sheetData>
    <row r="3" spans="1:2" x14ac:dyDescent="0.3">
      <c r="A3" s="10" t="s">
        <v>127</v>
      </c>
      <c r="B3" t="s">
        <v>126</v>
      </c>
    </row>
    <row r="4" spans="1:2" x14ac:dyDescent="0.3">
      <c r="A4" s="9" t="s">
        <v>120</v>
      </c>
      <c r="B4">
        <v>762</v>
      </c>
    </row>
    <row r="5" spans="1:2" x14ac:dyDescent="0.3">
      <c r="A5" s="9" t="s">
        <v>122</v>
      </c>
      <c r="B5">
        <v>721</v>
      </c>
    </row>
    <row r="6" spans="1:2" x14ac:dyDescent="0.3">
      <c r="A6" s="9" t="s">
        <v>128</v>
      </c>
      <c r="B6">
        <v>1483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F0632-8FDC-4E24-A20A-596E0D30DC01}">
  <dimension ref="A3:B7"/>
  <sheetViews>
    <sheetView workbookViewId="0">
      <selection activeCell="C16" sqref="C16"/>
    </sheetView>
  </sheetViews>
  <sheetFormatPr defaultRowHeight="14.4" x14ac:dyDescent="0.3"/>
  <cols>
    <col min="1" max="1" width="12.5546875" bestFit="1" customWidth="1"/>
    <col min="2" max="2" width="16.5546875" bestFit="1" customWidth="1"/>
    <col min="3" max="5" width="9.109375" bestFit="1" customWidth="1"/>
    <col min="6" max="6" width="10.77734375" bestFit="1" customWidth="1"/>
  </cols>
  <sheetData>
    <row r="3" spans="1:2" x14ac:dyDescent="0.3">
      <c r="A3" s="10" t="s">
        <v>127</v>
      </c>
      <c r="B3" t="s">
        <v>130</v>
      </c>
    </row>
    <row r="4" spans="1:2" x14ac:dyDescent="0.3">
      <c r="A4" s="9" t="s">
        <v>98</v>
      </c>
      <c r="B4">
        <v>149369</v>
      </c>
    </row>
    <row r="5" spans="1:2" x14ac:dyDescent="0.3">
      <c r="A5" s="9" t="s">
        <v>13</v>
      </c>
      <c r="B5">
        <v>183964</v>
      </c>
    </row>
    <row r="6" spans="1:2" x14ac:dyDescent="0.3">
      <c r="A6" s="9" t="s">
        <v>106</v>
      </c>
      <c r="B6">
        <v>270248</v>
      </c>
    </row>
    <row r="7" spans="1:2" x14ac:dyDescent="0.3">
      <c r="A7" s="9" t="s">
        <v>128</v>
      </c>
      <c r="B7">
        <v>603581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C753D-627C-4F50-B196-4612A64D8040}">
  <dimension ref="A3:B10"/>
  <sheetViews>
    <sheetView workbookViewId="0">
      <selection activeCell="A6" sqref="A6"/>
    </sheetView>
  </sheetViews>
  <sheetFormatPr defaultRowHeight="14.4" x14ac:dyDescent="0.3"/>
  <cols>
    <col min="1" max="1" width="14" bestFit="1" customWidth="1"/>
    <col min="2" max="2" width="16.5546875" bestFit="1" customWidth="1"/>
  </cols>
  <sheetData>
    <row r="3" spans="1:2" x14ac:dyDescent="0.3">
      <c r="A3" s="10" t="s">
        <v>127</v>
      </c>
      <c r="B3" t="s">
        <v>130</v>
      </c>
    </row>
    <row r="4" spans="1:2" x14ac:dyDescent="0.3">
      <c r="A4" s="9" t="s">
        <v>27</v>
      </c>
      <c r="B4">
        <v>225071</v>
      </c>
    </row>
    <row r="5" spans="1:2" x14ac:dyDescent="0.3">
      <c r="A5" s="9" t="s">
        <v>15</v>
      </c>
      <c r="B5">
        <v>142450</v>
      </c>
    </row>
    <row r="6" spans="1:2" x14ac:dyDescent="0.3">
      <c r="A6" s="9" t="s">
        <v>23</v>
      </c>
      <c r="B6">
        <v>72853</v>
      </c>
    </row>
    <row r="7" spans="1:2" x14ac:dyDescent="0.3">
      <c r="A7" s="9" t="s">
        <v>50</v>
      </c>
      <c r="B7">
        <v>71225</v>
      </c>
    </row>
    <row r="8" spans="1:2" x14ac:dyDescent="0.3">
      <c r="A8" s="9" t="s">
        <v>42</v>
      </c>
      <c r="B8">
        <v>62678</v>
      </c>
    </row>
    <row r="9" spans="1:2" x14ac:dyDescent="0.3">
      <c r="A9" s="9" t="s">
        <v>20</v>
      </c>
      <c r="B9">
        <v>29304</v>
      </c>
    </row>
    <row r="10" spans="1:2" x14ac:dyDescent="0.3">
      <c r="A10" s="9" t="s">
        <v>128</v>
      </c>
      <c r="B10">
        <v>603581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2670E-4F09-461E-AED3-B1EA75F3DE8B}">
  <dimension ref="A3:C14"/>
  <sheetViews>
    <sheetView workbookViewId="0">
      <selection activeCell="I7" sqref="I7"/>
    </sheetView>
  </sheetViews>
  <sheetFormatPr defaultRowHeight="14.4" x14ac:dyDescent="0.3"/>
  <cols>
    <col min="1" max="1" width="23" bestFit="1" customWidth="1"/>
    <col min="2" max="2" width="17.88671875" bestFit="1" customWidth="1"/>
    <col min="3" max="4" width="7" bestFit="1" customWidth="1"/>
    <col min="5" max="5" width="20" bestFit="1" customWidth="1"/>
  </cols>
  <sheetData>
    <row r="3" spans="1:3" x14ac:dyDescent="0.3">
      <c r="A3" s="10" t="s">
        <v>130</v>
      </c>
    </row>
    <row r="4" spans="1:3" x14ac:dyDescent="0.3">
      <c r="A4" s="10" t="s">
        <v>121</v>
      </c>
      <c r="B4" s="10" t="s">
        <v>5</v>
      </c>
      <c r="C4" t="s">
        <v>131</v>
      </c>
    </row>
    <row r="5" spans="1:3" x14ac:dyDescent="0.3">
      <c r="A5" t="s">
        <v>120</v>
      </c>
      <c r="B5" t="s">
        <v>14</v>
      </c>
      <c r="C5">
        <v>151404</v>
      </c>
    </row>
    <row r="6" spans="1:3" x14ac:dyDescent="0.3">
      <c r="B6" t="s">
        <v>19</v>
      </c>
      <c r="C6">
        <v>113960</v>
      </c>
    </row>
    <row r="7" spans="1:3" x14ac:dyDescent="0.3">
      <c r="B7" t="s">
        <v>49</v>
      </c>
      <c r="C7">
        <v>44770</v>
      </c>
    </row>
    <row r="8" spans="1:3" x14ac:dyDescent="0.3">
      <c r="A8" t="s">
        <v>132</v>
      </c>
      <c r="C8">
        <v>310134</v>
      </c>
    </row>
    <row r="9" spans="1:3" x14ac:dyDescent="0.3">
      <c r="A9" t="s">
        <v>122</v>
      </c>
      <c r="B9" t="s">
        <v>14</v>
      </c>
      <c r="C9">
        <v>135531</v>
      </c>
    </row>
    <row r="10" spans="1:3" x14ac:dyDescent="0.3">
      <c r="B10" t="s">
        <v>19</v>
      </c>
      <c r="C10">
        <v>109076</v>
      </c>
    </row>
    <row r="11" spans="1:3" x14ac:dyDescent="0.3">
      <c r="B11" t="s">
        <v>49</v>
      </c>
      <c r="C11">
        <v>47619</v>
      </c>
    </row>
    <row r="12" spans="1:3" x14ac:dyDescent="0.3">
      <c r="B12" t="s">
        <v>112</v>
      </c>
      <c r="C12">
        <v>1221</v>
      </c>
    </row>
    <row r="13" spans="1:3" x14ac:dyDescent="0.3">
      <c r="A13" t="s">
        <v>133</v>
      </c>
      <c r="C13">
        <v>293447</v>
      </c>
    </row>
    <row r="14" spans="1:3" x14ac:dyDescent="0.3">
      <c r="A14" t="s">
        <v>128</v>
      </c>
      <c r="C14">
        <v>603581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94D86-13CB-48CC-9C5C-B195ADF610DB}">
  <dimension ref="A3:B25"/>
  <sheetViews>
    <sheetView zoomScale="107" workbookViewId="0">
      <selection activeCell="F5" sqref="F5"/>
    </sheetView>
  </sheetViews>
  <sheetFormatPr defaultRowHeight="14.4" x14ac:dyDescent="0.3"/>
  <cols>
    <col min="1" max="1" width="19.5546875" bestFit="1" customWidth="1"/>
    <col min="2" max="2" width="17.109375" bestFit="1" customWidth="1"/>
  </cols>
  <sheetData>
    <row r="3" spans="1:2" x14ac:dyDescent="0.3">
      <c r="A3" s="10" t="s">
        <v>127</v>
      </c>
      <c r="B3" t="s">
        <v>130</v>
      </c>
    </row>
    <row r="4" spans="1:2" x14ac:dyDescent="0.3">
      <c r="A4" s="9" t="s">
        <v>51</v>
      </c>
      <c r="B4" s="11">
        <v>407</v>
      </c>
    </row>
    <row r="5" spans="1:2" x14ac:dyDescent="0.3">
      <c r="A5" s="9" t="s">
        <v>68</v>
      </c>
      <c r="B5" s="11">
        <v>407</v>
      </c>
    </row>
    <row r="6" spans="1:2" x14ac:dyDescent="0.3">
      <c r="A6" s="9" t="s">
        <v>101</v>
      </c>
      <c r="B6" s="11">
        <v>407</v>
      </c>
    </row>
    <row r="7" spans="1:2" x14ac:dyDescent="0.3">
      <c r="A7" s="9" t="s">
        <v>70</v>
      </c>
      <c r="B7" s="11">
        <v>814</v>
      </c>
    </row>
    <row r="8" spans="1:2" x14ac:dyDescent="0.3">
      <c r="A8" s="9" t="s">
        <v>82</v>
      </c>
      <c r="B8" s="11">
        <v>1221</v>
      </c>
    </row>
    <row r="9" spans="1:2" x14ac:dyDescent="0.3">
      <c r="A9" s="9" t="s">
        <v>110</v>
      </c>
      <c r="B9" s="11">
        <v>1221</v>
      </c>
    </row>
    <row r="10" spans="1:2" x14ac:dyDescent="0.3">
      <c r="A10" s="9" t="s">
        <v>74</v>
      </c>
      <c r="B10" s="11">
        <v>1628</v>
      </c>
    </row>
    <row r="11" spans="1:2" x14ac:dyDescent="0.3">
      <c r="A11" s="9" t="s">
        <v>94</v>
      </c>
      <c r="B11" s="11">
        <v>1628</v>
      </c>
    </row>
    <row r="12" spans="1:2" x14ac:dyDescent="0.3">
      <c r="A12" s="9" t="s">
        <v>43</v>
      </c>
      <c r="B12" s="11">
        <v>1628</v>
      </c>
    </row>
    <row r="13" spans="1:2" x14ac:dyDescent="0.3">
      <c r="A13" s="9" t="s">
        <v>53</v>
      </c>
      <c r="B13" s="11">
        <v>2035</v>
      </c>
    </row>
    <row r="14" spans="1:2" x14ac:dyDescent="0.3">
      <c r="A14" s="9" t="s">
        <v>21</v>
      </c>
      <c r="B14" s="11">
        <v>2035</v>
      </c>
    </row>
    <row r="15" spans="1:2" x14ac:dyDescent="0.3">
      <c r="A15" s="9" t="s">
        <v>30</v>
      </c>
      <c r="B15" s="11">
        <v>2035</v>
      </c>
    </row>
    <row r="16" spans="1:2" x14ac:dyDescent="0.3">
      <c r="A16" s="9" t="s">
        <v>86</v>
      </c>
      <c r="B16" s="11">
        <v>2035</v>
      </c>
    </row>
    <row r="17" spans="1:2" x14ac:dyDescent="0.3">
      <c r="A17" s="9" t="s">
        <v>90</v>
      </c>
      <c r="B17" s="11">
        <v>2442</v>
      </c>
    </row>
    <row r="18" spans="1:2" x14ac:dyDescent="0.3">
      <c r="A18" s="9" t="s">
        <v>58</v>
      </c>
      <c r="B18" s="11">
        <v>4070</v>
      </c>
    </row>
    <row r="19" spans="1:2" x14ac:dyDescent="0.3">
      <c r="A19" s="9" t="s">
        <v>45</v>
      </c>
      <c r="B19" s="11">
        <v>5698</v>
      </c>
    </row>
    <row r="20" spans="1:2" x14ac:dyDescent="0.3">
      <c r="A20" s="9" t="s">
        <v>28</v>
      </c>
      <c r="B20" s="11">
        <v>7733</v>
      </c>
    </row>
    <row r="21" spans="1:2" x14ac:dyDescent="0.3">
      <c r="A21" s="9" t="s">
        <v>24</v>
      </c>
      <c r="B21" s="11">
        <v>10175</v>
      </c>
    </row>
    <row r="22" spans="1:2" x14ac:dyDescent="0.3">
      <c r="A22" s="9" t="s">
        <v>47</v>
      </c>
      <c r="B22" s="11">
        <v>10582</v>
      </c>
    </row>
    <row r="23" spans="1:2" x14ac:dyDescent="0.3">
      <c r="A23" s="9" t="s">
        <v>33</v>
      </c>
      <c r="B23" s="11">
        <v>17908</v>
      </c>
    </row>
    <row r="24" spans="1:2" x14ac:dyDescent="0.3">
      <c r="A24" s="9" t="s">
        <v>16</v>
      </c>
      <c r="B24" s="11">
        <v>20350</v>
      </c>
    </row>
    <row r="25" spans="1:2" x14ac:dyDescent="0.3">
      <c r="A25" s="9" t="s">
        <v>128</v>
      </c>
      <c r="B25" s="11">
        <v>96459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17930-20C4-4259-9052-2CCEE77DF587}">
  <dimension ref="A3:D9"/>
  <sheetViews>
    <sheetView workbookViewId="0">
      <selection activeCell="M6" sqref="M6"/>
    </sheetView>
  </sheetViews>
  <sheetFormatPr defaultRowHeight="14.4" x14ac:dyDescent="0.3"/>
  <cols>
    <col min="1" max="1" width="20.77734375" bestFit="1" customWidth="1"/>
    <col min="2" max="2" width="15.5546875" bestFit="1" customWidth="1"/>
    <col min="3" max="3" width="10.109375" bestFit="1" customWidth="1"/>
    <col min="4" max="4" width="10.77734375" bestFit="1" customWidth="1"/>
  </cols>
  <sheetData>
    <row r="3" spans="1:4" x14ac:dyDescent="0.3">
      <c r="A3" s="10" t="s">
        <v>134</v>
      </c>
      <c r="B3" s="10" t="s">
        <v>129</v>
      </c>
    </row>
    <row r="4" spans="1:4" x14ac:dyDescent="0.3">
      <c r="A4" s="10" t="s">
        <v>127</v>
      </c>
      <c r="B4" t="s">
        <v>25</v>
      </c>
      <c r="C4" t="s">
        <v>17</v>
      </c>
      <c r="D4" t="s">
        <v>128</v>
      </c>
    </row>
    <row r="5" spans="1:4" x14ac:dyDescent="0.3">
      <c r="A5" s="9" t="s">
        <v>112</v>
      </c>
      <c r="C5">
        <v>2</v>
      </c>
      <c r="D5">
        <v>2</v>
      </c>
    </row>
    <row r="6" spans="1:4" x14ac:dyDescent="0.3">
      <c r="A6" s="9" t="s">
        <v>49</v>
      </c>
      <c r="B6">
        <v>22</v>
      </c>
      <c r="C6">
        <v>88</v>
      </c>
      <c r="D6">
        <v>110</v>
      </c>
    </row>
    <row r="7" spans="1:4" x14ac:dyDescent="0.3">
      <c r="A7" s="9" t="s">
        <v>19</v>
      </c>
      <c r="B7">
        <v>96</v>
      </c>
      <c r="C7">
        <v>182</v>
      </c>
      <c r="D7">
        <v>278</v>
      </c>
    </row>
    <row r="8" spans="1:4" x14ac:dyDescent="0.3">
      <c r="A8" s="9" t="s">
        <v>14</v>
      </c>
      <c r="B8">
        <v>114</v>
      </c>
      <c r="C8">
        <v>248</v>
      </c>
      <c r="D8">
        <v>362</v>
      </c>
    </row>
    <row r="9" spans="1:4" x14ac:dyDescent="0.3">
      <c r="A9" s="9" t="s">
        <v>128</v>
      </c>
      <c r="B9">
        <v>232</v>
      </c>
      <c r="C9">
        <v>520</v>
      </c>
      <c r="D9">
        <v>752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965FF-D835-407E-AEF0-00F0E7EA26F2}">
  <dimension ref="A3:B25"/>
  <sheetViews>
    <sheetView zoomScale="89" workbookViewId="0">
      <selection activeCell="M30" sqref="M30"/>
    </sheetView>
  </sheetViews>
  <sheetFormatPr defaultRowHeight="14.4" x14ac:dyDescent="0.3"/>
  <cols>
    <col min="1" max="1" width="18.44140625" bestFit="1" customWidth="1"/>
    <col min="2" max="2" width="25.77734375" bestFit="1" customWidth="1"/>
    <col min="3" max="3" width="19.33203125" bestFit="1" customWidth="1"/>
    <col min="4" max="4" width="15.33203125" bestFit="1" customWidth="1"/>
    <col min="5" max="5" width="13.6640625" bestFit="1" customWidth="1"/>
    <col min="6" max="6" width="16.33203125" bestFit="1" customWidth="1"/>
    <col min="7" max="7" width="10.77734375" bestFit="1" customWidth="1"/>
    <col min="8" max="8" width="7.88671875" bestFit="1" customWidth="1"/>
    <col min="9" max="9" width="15.109375" bestFit="1" customWidth="1"/>
    <col min="10" max="10" width="8.77734375" bestFit="1" customWidth="1"/>
    <col min="11" max="11" width="13.44140625" bestFit="1" customWidth="1"/>
    <col min="12" max="12" width="6.88671875" bestFit="1" customWidth="1"/>
    <col min="13" max="13" width="10.5546875" bestFit="1" customWidth="1"/>
    <col min="14" max="14" width="5.77734375" bestFit="1" customWidth="1"/>
    <col min="15" max="15" width="7.5546875" bestFit="1" customWidth="1"/>
    <col min="16" max="16" width="15.77734375" bestFit="1" customWidth="1"/>
    <col min="17" max="17" width="5.21875" bestFit="1" customWidth="1"/>
    <col min="18" max="18" width="18.88671875" bestFit="1" customWidth="1"/>
    <col min="19" max="19" width="7.21875" bestFit="1" customWidth="1"/>
    <col min="20" max="20" width="11.6640625" bestFit="1" customWidth="1"/>
    <col min="21" max="21" width="11" bestFit="1" customWidth="1"/>
    <col min="22" max="22" width="8.33203125" bestFit="1" customWidth="1"/>
    <col min="23" max="23" width="11.33203125" bestFit="1" customWidth="1"/>
    <col min="24" max="24" width="13.77734375" bestFit="1" customWidth="1"/>
    <col min="25" max="25" width="15.33203125" bestFit="1" customWidth="1"/>
    <col min="26" max="26" width="7.44140625" bestFit="1" customWidth="1"/>
    <col min="27" max="27" width="13.88671875" bestFit="1" customWidth="1"/>
    <col min="28" max="28" width="9" bestFit="1" customWidth="1"/>
    <col min="29" max="29" width="5.6640625" bestFit="1" customWidth="1"/>
    <col min="30" max="30" width="12.21875" bestFit="1" customWidth="1"/>
    <col min="31" max="31" width="7.44140625" bestFit="1" customWidth="1"/>
    <col min="32" max="32" width="11.109375" bestFit="1" customWidth="1"/>
    <col min="33" max="33" width="7" bestFit="1" customWidth="1"/>
    <col min="34" max="34" width="10.77734375" bestFit="1" customWidth="1"/>
  </cols>
  <sheetData>
    <row r="3" spans="1:2" x14ac:dyDescent="0.3">
      <c r="A3" s="10" t="s">
        <v>127</v>
      </c>
      <c r="B3" t="s">
        <v>141</v>
      </c>
    </row>
    <row r="4" spans="1:2" x14ac:dyDescent="0.3">
      <c r="A4" s="9" t="s">
        <v>74</v>
      </c>
      <c r="B4" s="11">
        <v>1</v>
      </c>
    </row>
    <row r="5" spans="1:2" x14ac:dyDescent="0.3">
      <c r="A5" s="9" t="s">
        <v>110</v>
      </c>
      <c r="B5" s="11">
        <v>1</v>
      </c>
    </row>
    <row r="6" spans="1:2" x14ac:dyDescent="0.3">
      <c r="A6" s="9" t="s">
        <v>68</v>
      </c>
      <c r="B6" s="11">
        <v>1</v>
      </c>
    </row>
    <row r="7" spans="1:2" x14ac:dyDescent="0.3">
      <c r="A7" s="9" t="s">
        <v>70</v>
      </c>
      <c r="B7" s="11">
        <v>1</v>
      </c>
    </row>
    <row r="8" spans="1:2" x14ac:dyDescent="0.3">
      <c r="A8" s="9" t="s">
        <v>94</v>
      </c>
      <c r="B8" s="11">
        <v>1</v>
      </c>
    </row>
    <row r="9" spans="1:2" x14ac:dyDescent="0.3">
      <c r="A9" s="9" t="s">
        <v>51</v>
      </c>
      <c r="B9" s="11">
        <v>1</v>
      </c>
    </row>
    <row r="10" spans="1:2" x14ac:dyDescent="0.3">
      <c r="A10" s="9" t="s">
        <v>101</v>
      </c>
      <c r="B10" s="11">
        <v>1</v>
      </c>
    </row>
    <row r="11" spans="1:2" x14ac:dyDescent="0.3">
      <c r="A11" s="9" t="s">
        <v>53</v>
      </c>
      <c r="B11" s="11">
        <v>2</v>
      </c>
    </row>
    <row r="12" spans="1:2" x14ac:dyDescent="0.3">
      <c r="A12" s="9" t="s">
        <v>43</v>
      </c>
      <c r="B12" s="11">
        <v>2</v>
      </c>
    </row>
    <row r="13" spans="1:2" x14ac:dyDescent="0.3">
      <c r="A13" s="9" t="s">
        <v>82</v>
      </c>
      <c r="B13" s="11">
        <v>2</v>
      </c>
    </row>
    <row r="14" spans="1:2" x14ac:dyDescent="0.3">
      <c r="A14" s="9" t="s">
        <v>86</v>
      </c>
      <c r="B14" s="11">
        <v>2</v>
      </c>
    </row>
    <row r="15" spans="1:2" x14ac:dyDescent="0.3">
      <c r="A15" s="9" t="s">
        <v>21</v>
      </c>
      <c r="B15" s="11">
        <v>2</v>
      </c>
    </row>
    <row r="16" spans="1:2" x14ac:dyDescent="0.3">
      <c r="A16" s="9" t="s">
        <v>90</v>
      </c>
      <c r="B16" s="11">
        <v>2</v>
      </c>
    </row>
    <row r="17" spans="1:2" x14ac:dyDescent="0.3">
      <c r="A17" s="9" t="s">
        <v>30</v>
      </c>
      <c r="B17" s="11">
        <v>3</v>
      </c>
    </row>
    <row r="18" spans="1:2" x14ac:dyDescent="0.3">
      <c r="A18" s="9" t="s">
        <v>58</v>
      </c>
      <c r="B18" s="11">
        <v>5</v>
      </c>
    </row>
    <row r="19" spans="1:2" x14ac:dyDescent="0.3">
      <c r="A19" s="9" t="s">
        <v>28</v>
      </c>
      <c r="B19" s="11">
        <v>10</v>
      </c>
    </row>
    <row r="20" spans="1:2" x14ac:dyDescent="0.3">
      <c r="A20" s="9" t="s">
        <v>45</v>
      </c>
      <c r="B20" s="11">
        <v>11</v>
      </c>
    </row>
    <row r="21" spans="1:2" x14ac:dyDescent="0.3">
      <c r="A21" s="9" t="s">
        <v>24</v>
      </c>
      <c r="B21" s="11">
        <v>14</v>
      </c>
    </row>
    <row r="22" spans="1:2" x14ac:dyDescent="0.3">
      <c r="A22" s="9" t="s">
        <v>47</v>
      </c>
      <c r="B22" s="11">
        <v>15</v>
      </c>
    </row>
    <row r="23" spans="1:2" x14ac:dyDescent="0.3">
      <c r="A23" s="9" t="s">
        <v>33</v>
      </c>
      <c r="B23" s="11">
        <v>20</v>
      </c>
    </row>
    <row r="24" spans="1:2" x14ac:dyDescent="0.3">
      <c r="A24" s="9" t="s">
        <v>16</v>
      </c>
      <c r="B24" s="11">
        <v>22</v>
      </c>
    </row>
    <row r="25" spans="1:2" x14ac:dyDescent="0.3">
      <c r="A25" s="9" t="s">
        <v>128</v>
      </c>
      <c r="B25" s="11">
        <v>119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53"/>
  <sheetViews>
    <sheetView zoomScale="83" zoomScaleNormal="100" workbookViewId="0">
      <selection activeCell="S2" sqref="S2"/>
    </sheetView>
  </sheetViews>
  <sheetFormatPr defaultRowHeight="14.4" x14ac:dyDescent="0.3"/>
  <cols>
    <col min="1" max="1" width="10.5546875" bestFit="1" customWidth="1"/>
    <col min="2" max="2" width="6.21875" customWidth="1"/>
    <col min="3" max="3" width="9.5546875" bestFit="1" customWidth="1"/>
    <col min="4" max="4" width="6.5546875" customWidth="1"/>
    <col min="5" max="5" width="15.21875" customWidth="1"/>
    <col min="6" max="6" width="18.33203125" customWidth="1"/>
    <col min="7" max="7" width="20.6640625" customWidth="1"/>
    <col min="8" max="8" width="14" bestFit="1" customWidth="1"/>
    <col min="9" max="9" width="17.5546875" customWidth="1"/>
    <col min="10" max="10" width="14.6640625" customWidth="1"/>
    <col min="11" max="11" width="23" bestFit="1" customWidth="1"/>
    <col min="12" max="12" width="16" customWidth="1"/>
    <col min="13" max="13" width="11.109375" style="6" customWidth="1"/>
    <col min="14" max="14" width="11.5546875" style="6" customWidth="1"/>
    <col min="15" max="15" width="11.109375" style="6" customWidth="1"/>
    <col min="16" max="16" width="11.21875" style="6" customWidth="1"/>
    <col min="17" max="17" width="13.21875" style="4" customWidth="1"/>
    <col min="18" max="18" width="12.5546875" customWidth="1"/>
    <col min="19" max="19" width="18.33203125" customWidth="1"/>
    <col min="20" max="20" width="21.44140625" customWidth="1"/>
  </cols>
  <sheetData>
    <row r="1" spans="1:20" s="2" customFormat="1" x14ac:dyDescent="0.3">
      <c r="A1" s="2" t="s">
        <v>0</v>
      </c>
      <c r="B1" s="2" t="s">
        <v>1</v>
      </c>
      <c r="C1" s="2" t="s">
        <v>2</v>
      </c>
      <c r="D1" s="2" t="s">
        <v>3</v>
      </c>
      <c r="E1" s="2" t="s">
        <v>4</v>
      </c>
      <c r="F1" s="2" t="s">
        <v>5</v>
      </c>
      <c r="G1" s="2" t="s">
        <v>121</v>
      </c>
      <c r="H1" s="2" t="s">
        <v>6</v>
      </c>
      <c r="I1" s="2" t="s">
        <v>7</v>
      </c>
      <c r="J1" s="2" t="s">
        <v>8</v>
      </c>
      <c r="K1" s="2" t="s">
        <v>9</v>
      </c>
      <c r="L1" s="2" t="s">
        <v>10</v>
      </c>
      <c r="M1" s="5" t="s">
        <v>11</v>
      </c>
      <c r="N1" s="5" t="s">
        <v>12</v>
      </c>
      <c r="O1" s="5" t="s">
        <v>124</v>
      </c>
      <c r="P1" s="5" t="s">
        <v>123</v>
      </c>
      <c r="Q1" s="3" t="s">
        <v>125</v>
      </c>
      <c r="R1" s="2" t="s">
        <v>135</v>
      </c>
      <c r="S1" s="2" t="s">
        <v>140</v>
      </c>
    </row>
    <row r="2" spans="1:20" x14ac:dyDescent="0.3">
      <c r="A2" s="1">
        <v>44470</v>
      </c>
      <c r="B2">
        <v>1</v>
      </c>
      <c r="C2" t="s">
        <v>13</v>
      </c>
      <c r="D2">
        <v>2021</v>
      </c>
      <c r="E2">
        <v>48</v>
      </c>
      <c r="F2" t="s">
        <v>14</v>
      </c>
      <c r="G2" t="s">
        <v>120</v>
      </c>
      <c r="H2" t="s">
        <v>15</v>
      </c>
      <c r="I2" t="s">
        <v>16</v>
      </c>
      <c r="J2" t="s">
        <v>17</v>
      </c>
      <c r="K2" t="s">
        <v>18</v>
      </c>
      <c r="L2">
        <v>3</v>
      </c>
      <c r="M2" s="6">
        <v>713</v>
      </c>
      <c r="N2" s="6">
        <v>1120</v>
      </c>
      <c r="O2" s="6">
        <f>Table1[[#This Row],[Unit_Price]]*Table1[[#This Row],[Order_Quantity]]</f>
        <v>3360</v>
      </c>
      <c r="P2" s="6">
        <f>Table1[[#This Row],[Unit_Cost]]*Table1[[#This Row],[Order_Quantity]]</f>
        <v>2139</v>
      </c>
      <c r="Q2" s="4">
        <f>Table1[[#This Row],[total sales]]-Table1[[#This Row],[total cost]]</f>
        <v>1221</v>
      </c>
      <c r="R2" s="6" t="s">
        <v>136</v>
      </c>
      <c r="S2" s="6" t="str">
        <f>_xlfn.CONCAT(Table1[[#This Row],[Sub_Category]],"-",Table1[[#This Row],[bike colour]])</f>
        <v>Road Bikes-yellow</v>
      </c>
    </row>
    <row r="3" spans="1:20" x14ac:dyDescent="0.3">
      <c r="A3" s="1">
        <v>44470</v>
      </c>
      <c r="B3">
        <v>1</v>
      </c>
      <c r="C3" t="s">
        <v>13</v>
      </c>
      <c r="D3">
        <v>2021</v>
      </c>
      <c r="E3">
        <v>27</v>
      </c>
      <c r="F3" t="s">
        <v>19</v>
      </c>
      <c r="G3" t="s">
        <v>122</v>
      </c>
      <c r="H3" t="s">
        <v>20</v>
      </c>
      <c r="I3" t="s">
        <v>21</v>
      </c>
      <c r="J3" t="s">
        <v>17</v>
      </c>
      <c r="K3" t="s">
        <v>22</v>
      </c>
      <c r="L3">
        <v>2</v>
      </c>
      <c r="M3" s="6">
        <v>713</v>
      </c>
      <c r="N3" s="6">
        <v>1120</v>
      </c>
      <c r="O3" s="6">
        <f>Table1[[#This Row],[Unit_Price]]*Table1[[#This Row],[Order_Quantity]]</f>
        <v>2240</v>
      </c>
      <c r="P3" s="6">
        <f>Table1[[#This Row],[Unit_Cost]]*Table1[[#This Row],[Order_Quantity]]</f>
        <v>1426</v>
      </c>
      <c r="Q3" s="4">
        <f>Table1[[#This Row],[total sales]]-Table1[[#This Row],[total cost]]</f>
        <v>814</v>
      </c>
      <c r="R3" s="6" t="s">
        <v>137</v>
      </c>
      <c r="S3" s="5" t="str">
        <f>_xlfn.CONCAT(Table1[[#This Row],[Sub_Category]],"-",Table1[[#This Row],[bike colour]])</f>
        <v>Road Bikes-red</v>
      </c>
      <c r="T3" s="8"/>
    </row>
    <row r="4" spans="1:20" x14ac:dyDescent="0.3">
      <c r="A4" s="1">
        <v>44470</v>
      </c>
      <c r="B4">
        <v>1</v>
      </c>
      <c r="C4" t="s">
        <v>13</v>
      </c>
      <c r="D4">
        <v>2021</v>
      </c>
      <c r="E4">
        <v>28</v>
      </c>
      <c r="F4" t="s">
        <v>19</v>
      </c>
      <c r="G4" t="s">
        <v>122</v>
      </c>
      <c r="H4" t="s">
        <v>23</v>
      </c>
      <c r="I4" t="s">
        <v>24</v>
      </c>
      <c r="J4" t="s">
        <v>25</v>
      </c>
      <c r="K4" t="s">
        <v>26</v>
      </c>
      <c r="L4">
        <v>2</v>
      </c>
      <c r="M4" s="6">
        <v>713</v>
      </c>
      <c r="N4" s="6">
        <v>1120</v>
      </c>
      <c r="O4" s="6">
        <f>Table1[[#This Row],[Unit_Price]]*Table1[[#This Row],[Order_Quantity]]</f>
        <v>2240</v>
      </c>
      <c r="P4" s="6">
        <f>Table1[[#This Row],[Unit_Cost]]*Table1[[#This Row],[Order_Quantity]]</f>
        <v>1426</v>
      </c>
      <c r="Q4" s="4">
        <f>Table1[[#This Row],[total sales]]-Table1[[#This Row],[total cost]]</f>
        <v>814</v>
      </c>
      <c r="R4" s="6" t="s">
        <v>138</v>
      </c>
      <c r="S4" s="5" t="str">
        <f>_xlfn.CONCAT(Table1[[#This Row],[Sub_Category]],"-",Table1[[#This Row],[bike colour]])</f>
        <v>Mountain Bikes-black</v>
      </c>
      <c r="T4" s="9"/>
    </row>
    <row r="5" spans="1:20" x14ac:dyDescent="0.3">
      <c r="A5" s="1">
        <v>44470</v>
      </c>
      <c r="B5">
        <v>1</v>
      </c>
      <c r="C5" t="s">
        <v>13</v>
      </c>
      <c r="D5">
        <v>2021</v>
      </c>
      <c r="E5">
        <v>40</v>
      </c>
      <c r="F5" t="s">
        <v>14</v>
      </c>
      <c r="G5" t="s">
        <v>120</v>
      </c>
      <c r="H5" t="s">
        <v>27</v>
      </c>
      <c r="I5" t="s">
        <v>28</v>
      </c>
      <c r="J5" t="s">
        <v>17</v>
      </c>
      <c r="K5" t="s">
        <v>29</v>
      </c>
      <c r="L5">
        <v>2</v>
      </c>
      <c r="M5" s="6">
        <v>713</v>
      </c>
      <c r="N5" s="6">
        <v>1120</v>
      </c>
      <c r="O5" s="6">
        <f>Table1[[#This Row],[Unit_Price]]*Table1[[#This Row],[Order_Quantity]]</f>
        <v>2240</v>
      </c>
      <c r="P5" s="6">
        <f>Table1[[#This Row],[Unit_Cost]]*Table1[[#This Row],[Order_Quantity]]</f>
        <v>1426</v>
      </c>
      <c r="Q5" s="4">
        <f>Table1[[#This Row],[total sales]]-Table1[[#This Row],[total cost]]</f>
        <v>814</v>
      </c>
      <c r="R5" s="6" t="s">
        <v>136</v>
      </c>
      <c r="S5" s="5" t="str">
        <f>_xlfn.CONCAT(Table1[[#This Row],[Sub_Category]],"-",Table1[[#This Row],[bike colour]])</f>
        <v>Road Bikes-yellow</v>
      </c>
      <c r="T5" s="9"/>
    </row>
    <row r="6" spans="1:20" x14ac:dyDescent="0.3">
      <c r="A6" s="1">
        <v>44470</v>
      </c>
      <c r="B6">
        <v>1</v>
      </c>
      <c r="C6" t="s">
        <v>13</v>
      </c>
      <c r="D6">
        <v>2021</v>
      </c>
      <c r="E6">
        <v>28</v>
      </c>
      <c r="F6" t="s">
        <v>19</v>
      </c>
      <c r="G6" t="s">
        <v>122</v>
      </c>
      <c r="H6" t="s">
        <v>27</v>
      </c>
      <c r="I6" t="s">
        <v>30</v>
      </c>
      <c r="J6" t="s">
        <v>25</v>
      </c>
      <c r="K6" t="s">
        <v>31</v>
      </c>
      <c r="L6">
        <v>1</v>
      </c>
      <c r="M6" s="6">
        <v>713</v>
      </c>
      <c r="N6" s="6">
        <v>1120</v>
      </c>
      <c r="O6" s="6">
        <f>Table1[[#This Row],[Unit_Price]]*Table1[[#This Row],[Order_Quantity]]</f>
        <v>1120</v>
      </c>
      <c r="P6" s="6">
        <f>Table1[[#This Row],[Unit_Cost]]*Table1[[#This Row],[Order_Quantity]]</f>
        <v>713</v>
      </c>
      <c r="Q6" s="4">
        <f>Table1[[#This Row],[total sales]]-Table1[[#This Row],[total cost]]</f>
        <v>407</v>
      </c>
      <c r="R6" s="6" t="s">
        <v>139</v>
      </c>
      <c r="S6" s="6" t="str">
        <f>_xlfn.CONCAT(Table1[[#This Row],[Sub_Category]],"-",Table1[[#This Row],[bike colour]])</f>
        <v>Mountain Bikes-silver</v>
      </c>
      <c r="T6" s="7"/>
    </row>
    <row r="7" spans="1:20" x14ac:dyDescent="0.3">
      <c r="A7" s="1">
        <v>44470</v>
      </c>
      <c r="B7">
        <v>1</v>
      </c>
      <c r="C7" t="s">
        <v>13</v>
      </c>
      <c r="D7">
        <v>2021</v>
      </c>
      <c r="E7">
        <v>36</v>
      </c>
      <c r="F7" t="s">
        <v>14</v>
      </c>
      <c r="G7" t="s">
        <v>120</v>
      </c>
      <c r="H7" t="s">
        <v>15</v>
      </c>
      <c r="I7" t="s">
        <v>16</v>
      </c>
      <c r="J7" t="s">
        <v>17</v>
      </c>
      <c r="K7" t="s">
        <v>32</v>
      </c>
      <c r="L7">
        <v>1</v>
      </c>
      <c r="M7" s="6">
        <v>713</v>
      </c>
      <c r="N7" s="6">
        <v>1120</v>
      </c>
      <c r="O7" s="6">
        <f>Table1[[#This Row],[Unit_Price]]*Table1[[#This Row],[Order_Quantity]]</f>
        <v>1120</v>
      </c>
      <c r="P7" s="6">
        <f>Table1[[#This Row],[Unit_Cost]]*Table1[[#This Row],[Order_Quantity]]</f>
        <v>713</v>
      </c>
      <c r="Q7" s="4">
        <f>Table1[[#This Row],[total sales]]-Table1[[#This Row],[total cost]]</f>
        <v>407</v>
      </c>
      <c r="R7" s="6" t="s">
        <v>137</v>
      </c>
      <c r="S7" s="6" t="str">
        <f>_xlfn.CONCAT(Table1[[#This Row],[Sub_Category]],"-",Table1[[#This Row],[bike colour]])</f>
        <v>Road Bikes-red</v>
      </c>
      <c r="T7" s="7"/>
    </row>
    <row r="8" spans="1:20" x14ac:dyDescent="0.3">
      <c r="A8" s="1">
        <v>44470</v>
      </c>
      <c r="B8">
        <v>1</v>
      </c>
      <c r="C8" t="s">
        <v>13</v>
      </c>
      <c r="D8">
        <v>2021</v>
      </c>
      <c r="E8">
        <v>53</v>
      </c>
      <c r="F8" t="s">
        <v>14</v>
      </c>
      <c r="G8" t="s">
        <v>122</v>
      </c>
      <c r="H8" t="s">
        <v>27</v>
      </c>
      <c r="I8" t="s">
        <v>33</v>
      </c>
      <c r="J8" t="s">
        <v>25</v>
      </c>
      <c r="K8" t="s">
        <v>34</v>
      </c>
      <c r="L8">
        <v>1</v>
      </c>
      <c r="M8" s="6">
        <v>713</v>
      </c>
      <c r="N8" s="6">
        <v>1120</v>
      </c>
      <c r="O8" s="6">
        <f>Table1[[#This Row],[Unit_Price]]*Table1[[#This Row],[Order_Quantity]]</f>
        <v>1120</v>
      </c>
      <c r="P8" s="6">
        <f>Table1[[#This Row],[Unit_Cost]]*Table1[[#This Row],[Order_Quantity]]</f>
        <v>713</v>
      </c>
      <c r="Q8" s="4">
        <f>Table1[[#This Row],[total sales]]-Table1[[#This Row],[total cost]]</f>
        <v>407</v>
      </c>
      <c r="R8" s="6" t="s">
        <v>138</v>
      </c>
      <c r="S8" s="6" t="str">
        <f>_xlfn.CONCAT(Table1[[#This Row],[Sub_Category]],"-",Table1[[#This Row],[bike colour]])</f>
        <v>Mountain Bikes-black</v>
      </c>
      <c r="T8" s="7"/>
    </row>
    <row r="9" spans="1:20" x14ac:dyDescent="0.3">
      <c r="A9" s="1">
        <v>44470</v>
      </c>
      <c r="B9">
        <v>1</v>
      </c>
      <c r="C9" t="s">
        <v>13</v>
      </c>
      <c r="D9">
        <v>2021</v>
      </c>
      <c r="E9">
        <v>62</v>
      </c>
      <c r="F9" t="s">
        <v>14</v>
      </c>
      <c r="G9" t="s">
        <v>122</v>
      </c>
      <c r="H9" t="s">
        <v>15</v>
      </c>
      <c r="I9" t="s">
        <v>16</v>
      </c>
      <c r="J9" t="s">
        <v>17</v>
      </c>
      <c r="K9" t="s">
        <v>35</v>
      </c>
      <c r="L9">
        <v>1</v>
      </c>
      <c r="M9" s="6">
        <v>713</v>
      </c>
      <c r="N9" s="6">
        <v>1120</v>
      </c>
      <c r="O9" s="6">
        <f>Table1[[#This Row],[Unit_Price]]*Table1[[#This Row],[Order_Quantity]]</f>
        <v>1120</v>
      </c>
      <c r="P9" s="6">
        <f>Table1[[#This Row],[Unit_Cost]]*Table1[[#This Row],[Order_Quantity]]</f>
        <v>713</v>
      </c>
      <c r="Q9" s="4">
        <f>Table1[[#This Row],[total sales]]-Table1[[#This Row],[total cost]]</f>
        <v>407</v>
      </c>
      <c r="R9" s="6" t="s">
        <v>137</v>
      </c>
      <c r="S9" s="6" t="str">
        <f>_xlfn.CONCAT(Table1[[#This Row],[Sub_Category]],"-",Table1[[#This Row],[bike colour]])</f>
        <v>Road Bikes-red</v>
      </c>
      <c r="T9" s="7"/>
    </row>
    <row r="10" spans="1:20" x14ac:dyDescent="0.3">
      <c r="A10" s="1">
        <v>44471</v>
      </c>
      <c r="B10">
        <v>2</v>
      </c>
      <c r="C10" t="s">
        <v>13</v>
      </c>
      <c r="D10">
        <v>2021</v>
      </c>
      <c r="E10">
        <v>28</v>
      </c>
      <c r="F10" t="s">
        <v>19</v>
      </c>
      <c r="G10" t="s">
        <v>120</v>
      </c>
      <c r="H10" t="s">
        <v>27</v>
      </c>
      <c r="I10" t="s">
        <v>33</v>
      </c>
      <c r="J10" t="s">
        <v>25</v>
      </c>
      <c r="K10" t="s">
        <v>26</v>
      </c>
      <c r="L10">
        <v>3</v>
      </c>
      <c r="M10" s="6">
        <v>713</v>
      </c>
      <c r="N10" s="6">
        <v>1120</v>
      </c>
      <c r="O10" s="6">
        <f>Table1[[#This Row],[Unit_Price]]*Table1[[#This Row],[Order_Quantity]]</f>
        <v>3360</v>
      </c>
      <c r="P10" s="6">
        <f>Table1[[#This Row],[Unit_Cost]]*Table1[[#This Row],[Order_Quantity]]</f>
        <v>2139</v>
      </c>
      <c r="Q10" s="4">
        <f>Table1[[#This Row],[total sales]]-Table1[[#This Row],[total cost]]</f>
        <v>1221</v>
      </c>
      <c r="R10" s="6" t="s">
        <v>138</v>
      </c>
      <c r="S10" s="6" t="str">
        <f>_xlfn.CONCAT(Table1[[#This Row],[Sub_Category]],"-",Table1[[#This Row],[bike colour]])</f>
        <v>Mountain Bikes-black</v>
      </c>
      <c r="T10" s="7"/>
    </row>
    <row r="11" spans="1:20" x14ac:dyDescent="0.3">
      <c r="A11" s="1">
        <v>44471</v>
      </c>
      <c r="B11">
        <v>2</v>
      </c>
      <c r="C11" t="s">
        <v>13</v>
      </c>
      <c r="D11">
        <v>2021</v>
      </c>
      <c r="E11">
        <v>29</v>
      </c>
      <c r="F11" t="s">
        <v>19</v>
      </c>
      <c r="G11" t="s">
        <v>120</v>
      </c>
      <c r="H11" t="s">
        <v>27</v>
      </c>
      <c r="I11" t="s">
        <v>33</v>
      </c>
      <c r="J11" t="s">
        <v>25</v>
      </c>
      <c r="K11" t="s">
        <v>31</v>
      </c>
      <c r="L11">
        <v>3</v>
      </c>
      <c r="M11" s="6">
        <v>713</v>
      </c>
      <c r="N11" s="6">
        <v>1120</v>
      </c>
      <c r="O11" s="6">
        <f>Table1[[#This Row],[Unit_Price]]*Table1[[#This Row],[Order_Quantity]]</f>
        <v>3360</v>
      </c>
      <c r="P11" s="6">
        <f>Table1[[#This Row],[Unit_Cost]]*Table1[[#This Row],[Order_Quantity]]</f>
        <v>2139</v>
      </c>
      <c r="Q11" s="4">
        <f>Table1[[#This Row],[total sales]]-Table1[[#This Row],[total cost]]</f>
        <v>1221</v>
      </c>
      <c r="R11" s="6" t="s">
        <v>139</v>
      </c>
      <c r="S11" s="6" t="str">
        <f>_xlfn.CONCAT(Table1[[#This Row],[Sub_Category]],"-",Table1[[#This Row],[bike colour]])</f>
        <v>Mountain Bikes-silver</v>
      </c>
      <c r="T11" s="7"/>
    </row>
    <row r="12" spans="1:20" x14ac:dyDescent="0.3">
      <c r="A12" s="1">
        <v>44471</v>
      </c>
      <c r="B12">
        <v>2</v>
      </c>
      <c r="C12" t="s">
        <v>13</v>
      </c>
      <c r="D12">
        <v>2021</v>
      </c>
      <c r="E12">
        <v>28</v>
      </c>
      <c r="F12" t="s">
        <v>19</v>
      </c>
      <c r="G12" t="s">
        <v>120</v>
      </c>
      <c r="H12" t="s">
        <v>27</v>
      </c>
      <c r="I12" t="s">
        <v>33</v>
      </c>
      <c r="J12" t="s">
        <v>25</v>
      </c>
      <c r="K12" t="s">
        <v>26</v>
      </c>
      <c r="L12">
        <v>2</v>
      </c>
      <c r="M12" s="6">
        <v>713</v>
      </c>
      <c r="N12" s="6">
        <v>1120</v>
      </c>
      <c r="O12" s="6">
        <f>Table1[[#This Row],[Unit_Price]]*Table1[[#This Row],[Order_Quantity]]</f>
        <v>2240</v>
      </c>
      <c r="P12" s="6">
        <f>Table1[[#This Row],[Unit_Cost]]*Table1[[#This Row],[Order_Quantity]]</f>
        <v>1426</v>
      </c>
      <c r="Q12" s="4">
        <f>Table1[[#This Row],[total sales]]-Table1[[#This Row],[total cost]]</f>
        <v>814</v>
      </c>
      <c r="R12" s="6" t="s">
        <v>138</v>
      </c>
      <c r="S12" s="6" t="str">
        <f>_xlfn.CONCAT(Table1[[#This Row],[Sub_Category]],"-",Table1[[#This Row],[bike colour]])</f>
        <v>Mountain Bikes-black</v>
      </c>
      <c r="T12" s="7"/>
    </row>
    <row r="13" spans="1:20" x14ac:dyDescent="0.3">
      <c r="A13" s="1">
        <v>44471</v>
      </c>
      <c r="B13">
        <v>2</v>
      </c>
      <c r="C13" t="s">
        <v>13</v>
      </c>
      <c r="D13">
        <v>2021</v>
      </c>
      <c r="E13">
        <v>47</v>
      </c>
      <c r="F13" t="s">
        <v>14</v>
      </c>
      <c r="G13" t="s">
        <v>120</v>
      </c>
      <c r="H13" t="s">
        <v>15</v>
      </c>
      <c r="I13" t="s">
        <v>16</v>
      </c>
      <c r="J13" t="s">
        <v>17</v>
      </c>
      <c r="K13" t="s">
        <v>36</v>
      </c>
      <c r="L13">
        <v>2</v>
      </c>
      <c r="M13" s="6">
        <v>713</v>
      </c>
      <c r="N13" s="6">
        <v>1120</v>
      </c>
      <c r="O13" s="6">
        <f>Table1[[#This Row],[Unit_Price]]*Table1[[#This Row],[Order_Quantity]]</f>
        <v>2240</v>
      </c>
      <c r="P13" s="6">
        <f>Table1[[#This Row],[Unit_Cost]]*Table1[[#This Row],[Order_Quantity]]</f>
        <v>1426</v>
      </c>
      <c r="Q13" s="4">
        <f>Table1[[#This Row],[total sales]]-Table1[[#This Row],[total cost]]</f>
        <v>814</v>
      </c>
      <c r="R13" s="6" t="s">
        <v>136</v>
      </c>
      <c r="S13" s="6" t="str">
        <f>_xlfn.CONCAT(Table1[[#This Row],[Sub_Category]],"-",Table1[[#This Row],[bike colour]])</f>
        <v>Road Bikes-yellow</v>
      </c>
      <c r="T13" s="7"/>
    </row>
    <row r="14" spans="1:20" x14ac:dyDescent="0.3">
      <c r="A14" s="1">
        <v>44471</v>
      </c>
      <c r="B14">
        <v>2</v>
      </c>
      <c r="C14" t="s">
        <v>13</v>
      </c>
      <c r="D14">
        <v>2021</v>
      </c>
      <c r="E14">
        <v>38</v>
      </c>
      <c r="F14" t="s">
        <v>14</v>
      </c>
      <c r="G14" t="s">
        <v>120</v>
      </c>
      <c r="H14" t="s">
        <v>23</v>
      </c>
      <c r="I14" t="s">
        <v>24</v>
      </c>
      <c r="J14" t="s">
        <v>17</v>
      </c>
      <c r="K14" t="s">
        <v>37</v>
      </c>
      <c r="L14">
        <v>1</v>
      </c>
      <c r="M14" s="6">
        <v>713</v>
      </c>
      <c r="N14" s="6">
        <v>1120</v>
      </c>
      <c r="O14" s="6">
        <f>Table1[[#This Row],[Unit_Price]]*Table1[[#This Row],[Order_Quantity]]</f>
        <v>1120</v>
      </c>
      <c r="P14" s="6">
        <f>Table1[[#This Row],[Unit_Cost]]*Table1[[#This Row],[Order_Quantity]]</f>
        <v>713</v>
      </c>
      <c r="Q14" s="4">
        <f>Table1[[#This Row],[total sales]]-Table1[[#This Row],[total cost]]</f>
        <v>407</v>
      </c>
      <c r="R14" s="6" t="s">
        <v>137</v>
      </c>
      <c r="S14" s="6" t="str">
        <f>_xlfn.CONCAT(Table1[[#This Row],[Sub_Category]],"-",Table1[[#This Row],[bike colour]])</f>
        <v>Road Bikes-red</v>
      </c>
      <c r="T14" s="7"/>
    </row>
    <row r="15" spans="1:20" x14ac:dyDescent="0.3">
      <c r="A15" s="1">
        <v>44471</v>
      </c>
      <c r="B15">
        <v>2</v>
      </c>
      <c r="C15" t="s">
        <v>13</v>
      </c>
      <c r="D15">
        <v>2021</v>
      </c>
      <c r="E15">
        <v>43</v>
      </c>
      <c r="F15" t="s">
        <v>14</v>
      </c>
      <c r="G15" t="s">
        <v>122</v>
      </c>
      <c r="H15" t="s">
        <v>27</v>
      </c>
      <c r="I15" t="s">
        <v>33</v>
      </c>
      <c r="J15" t="s">
        <v>17</v>
      </c>
      <c r="K15" t="s">
        <v>38</v>
      </c>
      <c r="L15">
        <v>1</v>
      </c>
      <c r="M15" s="6">
        <v>713</v>
      </c>
      <c r="N15" s="6">
        <v>1120</v>
      </c>
      <c r="O15" s="6">
        <f>Table1[[#This Row],[Unit_Price]]*Table1[[#This Row],[Order_Quantity]]</f>
        <v>1120</v>
      </c>
      <c r="P15" s="6">
        <f>Table1[[#This Row],[Unit_Cost]]*Table1[[#This Row],[Order_Quantity]]</f>
        <v>713</v>
      </c>
      <c r="Q15" s="4">
        <f>Table1[[#This Row],[total sales]]-Table1[[#This Row],[total cost]]</f>
        <v>407</v>
      </c>
      <c r="R15" s="6" t="s">
        <v>137</v>
      </c>
      <c r="S15" s="6" t="str">
        <f>_xlfn.CONCAT(Table1[[#This Row],[Sub_Category]],"-",Table1[[#This Row],[bike colour]])</f>
        <v>Road Bikes-red</v>
      </c>
      <c r="T15" s="7"/>
    </row>
    <row r="16" spans="1:20" x14ac:dyDescent="0.3">
      <c r="A16" s="1">
        <v>44471</v>
      </c>
      <c r="B16">
        <v>2</v>
      </c>
      <c r="C16" t="s">
        <v>13</v>
      </c>
      <c r="D16">
        <v>2021</v>
      </c>
      <c r="E16">
        <v>46</v>
      </c>
      <c r="F16" t="s">
        <v>14</v>
      </c>
      <c r="G16" t="s">
        <v>122</v>
      </c>
      <c r="H16" t="s">
        <v>15</v>
      </c>
      <c r="I16" t="s">
        <v>16</v>
      </c>
      <c r="J16" t="s">
        <v>17</v>
      </c>
      <c r="K16" t="s">
        <v>38</v>
      </c>
      <c r="L16">
        <v>1</v>
      </c>
      <c r="M16" s="6">
        <v>713</v>
      </c>
      <c r="N16" s="6">
        <v>1120</v>
      </c>
      <c r="O16" s="6">
        <f>Table1[[#This Row],[Unit_Price]]*Table1[[#This Row],[Order_Quantity]]</f>
        <v>1120</v>
      </c>
      <c r="P16" s="6">
        <f>Table1[[#This Row],[Unit_Cost]]*Table1[[#This Row],[Order_Quantity]]</f>
        <v>713</v>
      </c>
      <c r="Q16" s="4">
        <f>Table1[[#This Row],[total sales]]-Table1[[#This Row],[total cost]]</f>
        <v>407</v>
      </c>
      <c r="R16" s="6" t="s">
        <v>137</v>
      </c>
      <c r="S16" s="6" t="str">
        <f>_xlfn.CONCAT(Table1[[#This Row],[Sub_Category]],"-",Table1[[#This Row],[bike colour]])</f>
        <v>Road Bikes-red</v>
      </c>
    </row>
    <row r="17" spans="1:19" x14ac:dyDescent="0.3">
      <c r="A17" s="1">
        <v>44471</v>
      </c>
      <c r="B17">
        <v>2</v>
      </c>
      <c r="C17" t="s">
        <v>13</v>
      </c>
      <c r="D17">
        <v>2021</v>
      </c>
      <c r="E17">
        <v>50</v>
      </c>
      <c r="F17" t="s">
        <v>14</v>
      </c>
      <c r="G17" t="s">
        <v>122</v>
      </c>
      <c r="H17" t="s">
        <v>27</v>
      </c>
      <c r="I17" t="s">
        <v>28</v>
      </c>
      <c r="J17" t="s">
        <v>25</v>
      </c>
      <c r="K17" t="s">
        <v>39</v>
      </c>
      <c r="L17">
        <v>1</v>
      </c>
      <c r="M17" s="6">
        <v>713</v>
      </c>
      <c r="N17" s="6">
        <v>1120</v>
      </c>
      <c r="O17" s="6">
        <f>Table1[[#This Row],[Unit_Price]]*Table1[[#This Row],[Order_Quantity]]</f>
        <v>1120</v>
      </c>
      <c r="P17" s="6">
        <f>Table1[[#This Row],[Unit_Cost]]*Table1[[#This Row],[Order_Quantity]]</f>
        <v>713</v>
      </c>
      <c r="Q17" s="4">
        <f>Table1[[#This Row],[total sales]]-Table1[[#This Row],[total cost]]</f>
        <v>407</v>
      </c>
      <c r="R17" s="6" t="s">
        <v>138</v>
      </c>
      <c r="S17" s="6" t="str">
        <f>_xlfn.CONCAT(Table1[[#This Row],[Sub_Category]],"-",Table1[[#This Row],[bike colour]])</f>
        <v>Mountain Bikes-black</v>
      </c>
    </row>
    <row r="18" spans="1:19" x14ac:dyDescent="0.3">
      <c r="A18" s="1">
        <v>44472</v>
      </c>
      <c r="B18">
        <v>3</v>
      </c>
      <c r="C18" t="s">
        <v>13</v>
      </c>
      <c r="D18">
        <v>2021</v>
      </c>
      <c r="E18">
        <v>34</v>
      </c>
      <c r="F18" t="s">
        <v>19</v>
      </c>
      <c r="G18" t="s">
        <v>120</v>
      </c>
      <c r="H18" t="s">
        <v>27</v>
      </c>
      <c r="I18" t="s">
        <v>33</v>
      </c>
      <c r="J18" t="s">
        <v>17</v>
      </c>
      <c r="K18" t="s">
        <v>40</v>
      </c>
      <c r="L18">
        <v>4</v>
      </c>
      <c r="M18" s="6">
        <v>713</v>
      </c>
      <c r="N18" s="6">
        <v>1120</v>
      </c>
      <c r="O18" s="6">
        <f>Table1[[#This Row],[Unit_Price]]*Table1[[#This Row],[Order_Quantity]]</f>
        <v>4480</v>
      </c>
      <c r="P18" s="6">
        <f>Table1[[#This Row],[Unit_Cost]]*Table1[[#This Row],[Order_Quantity]]</f>
        <v>2852</v>
      </c>
      <c r="Q18" s="4">
        <f>Table1[[#This Row],[total sales]]-Table1[[#This Row],[total cost]]</f>
        <v>1628</v>
      </c>
      <c r="R18" s="6" t="s">
        <v>138</v>
      </c>
      <c r="S18" s="6" t="str">
        <f>_xlfn.CONCAT(Table1[[#This Row],[Sub_Category]],"-",Table1[[#This Row],[bike colour]])</f>
        <v>Road Bikes-black</v>
      </c>
    </row>
    <row r="19" spans="1:19" x14ac:dyDescent="0.3">
      <c r="A19" s="1">
        <v>44472</v>
      </c>
      <c r="B19">
        <v>3</v>
      </c>
      <c r="C19" t="s">
        <v>13</v>
      </c>
      <c r="D19">
        <v>2021</v>
      </c>
      <c r="E19">
        <v>46</v>
      </c>
      <c r="F19" t="s">
        <v>14</v>
      </c>
      <c r="G19" t="s">
        <v>122</v>
      </c>
      <c r="H19" t="s">
        <v>27</v>
      </c>
      <c r="I19" t="s">
        <v>33</v>
      </c>
      <c r="J19" t="s">
        <v>17</v>
      </c>
      <c r="K19" t="s">
        <v>41</v>
      </c>
      <c r="L19">
        <v>4</v>
      </c>
      <c r="M19" s="6">
        <v>713</v>
      </c>
      <c r="N19" s="6">
        <v>1120</v>
      </c>
      <c r="O19" s="6">
        <f>Table1[[#This Row],[Unit_Price]]*Table1[[#This Row],[Order_Quantity]]</f>
        <v>4480</v>
      </c>
      <c r="P19" s="6">
        <f>Table1[[#This Row],[Unit_Cost]]*Table1[[#This Row],[Order_Quantity]]</f>
        <v>2852</v>
      </c>
      <c r="Q19" s="4">
        <f>Table1[[#This Row],[total sales]]-Table1[[#This Row],[total cost]]</f>
        <v>1628</v>
      </c>
      <c r="R19" s="6" t="s">
        <v>138</v>
      </c>
      <c r="S19" s="6" t="str">
        <f>_xlfn.CONCAT(Table1[[#This Row],[Sub_Category]],"-",Table1[[#This Row],[bike colour]])</f>
        <v>Road Bikes-black</v>
      </c>
    </row>
    <row r="20" spans="1:19" x14ac:dyDescent="0.3">
      <c r="A20" s="1">
        <v>44472</v>
      </c>
      <c r="B20">
        <v>3</v>
      </c>
      <c r="C20" t="s">
        <v>13</v>
      </c>
      <c r="D20">
        <v>2021</v>
      </c>
      <c r="E20">
        <v>30</v>
      </c>
      <c r="F20" t="s">
        <v>19</v>
      </c>
      <c r="G20" t="s">
        <v>120</v>
      </c>
      <c r="H20" t="s">
        <v>42</v>
      </c>
      <c r="I20" t="s">
        <v>43</v>
      </c>
      <c r="J20" t="s">
        <v>17</v>
      </c>
      <c r="K20" t="s">
        <v>40</v>
      </c>
      <c r="L20">
        <v>1</v>
      </c>
      <c r="M20" s="6">
        <v>713</v>
      </c>
      <c r="N20" s="6">
        <v>1120</v>
      </c>
      <c r="O20" s="6">
        <f>Table1[[#This Row],[Unit_Price]]*Table1[[#This Row],[Order_Quantity]]</f>
        <v>1120</v>
      </c>
      <c r="P20" s="6">
        <f>Table1[[#This Row],[Unit_Cost]]*Table1[[#This Row],[Order_Quantity]]</f>
        <v>713</v>
      </c>
      <c r="Q20" s="4">
        <f>Table1[[#This Row],[total sales]]-Table1[[#This Row],[total cost]]</f>
        <v>407</v>
      </c>
      <c r="R20" s="6" t="s">
        <v>138</v>
      </c>
      <c r="S20" s="6" t="str">
        <f>_xlfn.CONCAT(Table1[[#This Row],[Sub_Category]],"-",Table1[[#This Row],[bike colour]])</f>
        <v>Road Bikes-black</v>
      </c>
    </row>
    <row r="21" spans="1:19" x14ac:dyDescent="0.3">
      <c r="A21" s="1">
        <v>44472</v>
      </c>
      <c r="B21">
        <v>3</v>
      </c>
      <c r="C21" t="s">
        <v>13</v>
      </c>
      <c r="D21">
        <v>2021</v>
      </c>
      <c r="E21">
        <v>36</v>
      </c>
      <c r="F21" t="s">
        <v>14</v>
      </c>
      <c r="G21" t="s">
        <v>122</v>
      </c>
      <c r="H21" t="s">
        <v>27</v>
      </c>
      <c r="I21" t="s">
        <v>30</v>
      </c>
      <c r="J21" t="s">
        <v>17</v>
      </c>
      <c r="K21" t="s">
        <v>44</v>
      </c>
      <c r="L21">
        <v>1</v>
      </c>
      <c r="M21" s="6">
        <v>713</v>
      </c>
      <c r="N21" s="6">
        <v>1120</v>
      </c>
      <c r="O21" s="6">
        <f>Table1[[#This Row],[Unit_Price]]*Table1[[#This Row],[Order_Quantity]]</f>
        <v>1120</v>
      </c>
      <c r="P21" s="6">
        <f>Table1[[#This Row],[Unit_Cost]]*Table1[[#This Row],[Order_Quantity]]</f>
        <v>713</v>
      </c>
      <c r="Q21" s="4">
        <f>Table1[[#This Row],[total sales]]-Table1[[#This Row],[total cost]]</f>
        <v>407</v>
      </c>
      <c r="R21" s="6" t="s">
        <v>136</v>
      </c>
      <c r="S21" s="6" t="str">
        <f>_xlfn.CONCAT(Table1[[#This Row],[Sub_Category]],"-",Table1[[#This Row],[bike colour]])</f>
        <v>Road Bikes-yellow</v>
      </c>
    </row>
    <row r="22" spans="1:19" x14ac:dyDescent="0.3">
      <c r="A22" s="1">
        <v>44472</v>
      </c>
      <c r="B22">
        <v>3</v>
      </c>
      <c r="C22" t="s">
        <v>13</v>
      </c>
      <c r="D22">
        <v>2021</v>
      </c>
      <c r="E22">
        <v>38</v>
      </c>
      <c r="F22" t="s">
        <v>14</v>
      </c>
      <c r="G22" t="s">
        <v>120</v>
      </c>
      <c r="H22" t="s">
        <v>27</v>
      </c>
      <c r="I22" t="s">
        <v>45</v>
      </c>
      <c r="J22" t="s">
        <v>17</v>
      </c>
      <c r="K22" t="s">
        <v>46</v>
      </c>
      <c r="L22">
        <v>1</v>
      </c>
      <c r="M22" s="6">
        <v>713</v>
      </c>
      <c r="N22" s="6">
        <v>1120</v>
      </c>
      <c r="O22" s="6">
        <f>Table1[[#This Row],[Unit_Price]]*Table1[[#This Row],[Order_Quantity]]</f>
        <v>1120</v>
      </c>
      <c r="P22" s="6">
        <f>Table1[[#This Row],[Unit_Cost]]*Table1[[#This Row],[Order_Quantity]]</f>
        <v>713</v>
      </c>
      <c r="Q22" s="4">
        <f>Table1[[#This Row],[total sales]]-Table1[[#This Row],[total cost]]</f>
        <v>407</v>
      </c>
      <c r="R22" s="6" t="s">
        <v>137</v>
      </c>
      <c r="S22" s="6" t="str">
        <f>_xlfn.CONCAT(Table1[[#This Row],[Sub_Category]],"-",Table1[[#This Row],[bike colour]])</f>
        <v>Road Bikes-red</v>
      </c>
    </row>
    <row r="23" spans="1:19" x14ac:dyDescent="0.3">
      <c r="A23" s="1">
        <v>44472</v>
      </c>
      <c r="B23">
        <v>3</v>
      </c>
      <c r="C23" t="s">
        <v>13</v>
      </c>
      <c r="D23">
        <v>2021</v>
      </c>
      <c r="E23">
        <v>51</v>
      </c>
      <c r="F23" t="s">
        <v>14</v>
      </c>
      <c r="G23" t="s">
        <v>122</v>
      </c>
      <c r="H23" t="s">
        <v>15</v>
      </c>
      <c r="I23" t="s">
        <v>47</v>
      </c>
      <c r="J23" t="s">
        <v>25</v>
      </c>
      <c r="K23" t="s">
        <v>48</v>
      </c>
      <c r="L23">
        <v>1</v>
      </c>
      <c r="M23" s="6">
        <v>713</v>
      </c>
      <c r="N23" s="6">
        <v>1120</v>
      </c>
      <c r="O23" s="6">
        <f>Table1[[#This Row],[Unit_Price]]*Table1[[#This Row],[Order_Quantity]]</f>
        <v>1120</v>
      </c>
      <c r="P23" s="6">
        <f>Table1[[#This Row],[Unit_Cost]]*Table1[[#This Row],[Order_Quantity]]</f>
        <v>713</v>
      </c>
      <c r="Q23" s="4">
        <f>Table1[[#This Row],[total sales]]-Table1[[#This Row],[total cost]]</f>
        <v>407</v>
      </c>
      <c r="R23" s="6" t="s">
        <v>138</v>
      </c>
      <c r="S23" s="6" t="str">
        <f>_xlfn.CONCAT(Table1[[#This Row],[Sub_Category]],"-",Table1[[#This Row],[bike colour]])</f>
        <v>Mountain Bikes-black</v>
      </c>
    </row>
    <row r="24" spans="1:19" x14ac:dyDescent="0.3">
      <c r="A24" s="1">
        <v>44472</v>
      </c>
      <c r="B24">
        <v>3</v>
      </c>
      <c r="C24" t="s">
        <v>13</v>
      </c>
      <c r="D24">
        <v>2021</v>
      </c>
      <c r="E24">
        <v>52</v>
      </c>
      <c r="F24" t="s">
        <v>14</v>
      </c>
      <c r="G24" t="s">
        <v>122</v>
      </c>
      <c r="H24" t="s">
        <v>27</v>
      </c>
      <c r="I24" t="s">
        <v>33</v>
      </c>
      <c r="J24" t="s">
        <v>25</v>
      </c>
      <c r="K24" t="s">
        <v>31</v>
      </c>
      <c r="L24">
        <v>1</v>
      </c>
      <c r="M24" s="6">
        <v>713</v>
      </c>
      <c r="N24" s="6">
        <v>1120</v>
      </c>
      <c r="O24" s="6">
        <f>Table1[[#This Row],[Unit_Price]]*Table1[[#This Row],[Order_Quantity]]</f>
        <v>1120</v>
      </c>
      <c r="P24" s="6">
        <f>Table1[[#This Row],[Unit_Cost]]*Table1[[#This Row],[Order_Quantity]]</f>
        <v>713</v>
      </c>
      <c r="Q24" s="4">
        <f>Table1[[#This Row],[total sales]]-Table1[[#This Row],[total cost]]</f>
        <v>407</v>
      </c>
      <c r="R24" s="6" t="s">
        <v>139</v>
      </c>
      <c r="S24" s="6" t="str">
        <f>_xlfn.CONCAT(Table1[[#This Row],[Sub_Category]],"-",Table1[[#This Row],[bike colour]])</f>
        <v>Mountain Bikes-silver</v>
      </c>
    </row>
    <row r="25" spans="1:19" x14ac:dyDescent="0.3">
      <c r="A25" s="1">
        <v>44473</v>
      </c>
      <c r="B25">
        <v>4</v>
      </c>
      <c r="C25" t="s">
        <v>13</v>
      </c>
      <c r="D25">
        <v>2021</v>
      </c>
      <c r="E25">
        <v>21</v>
      </c>
      <c r="F25" t="s">
        <v>49</v>
      </c>
      <c r="G25" t="s">
        <v>120</v>
      </c>
      <c r="H25" t="s">
        <v>15</v>
      </c>
      <c r="I25" t="s">
        <v>16</v>
      </c>
      <c r="J25" t="s">
        <v>17</v>
      </c>
      <c r="K25" t="s">
        <v>18</v>
      </c>
      <c r="L25">
        <v>4</v>
      </c>
      <c r="M25" s="6">
        <v>713</v>
      </c>
      <c r="N25" s="6">
        <v>1120</v>
      </c>
      <c r="O25" s="6">
        <f>Table1[[#This Row],[Unit_Price]]*Table1[[#This Row],[Order_Quantity]]</f>
        <v>4480</v>
      </c>
      <c r="P25" s="6">
        <f>Table1[[#This Row],[Unit_Cost]]*Table1[[#This Row],[Order_Quantity]]</f>
        <v>2852</v>
      </c>
      <c r="Q25" s="4">
        <f>Table1[[#This Row],[total sales]]-Table1[[#This Row],[total cost]]</f>
        <v>1628</v>
      </c>
      <c r="R25" s="6" t="s">
        <v>136</v>
      </c>
      <c r="S25" s="6" t="str">
        <f>_xlfn.CONCAT(Table1[[#This Row],[Sub_Category]],"-",Table1[[#This Row],[bike colour]])</f>
        <v>Road Bikes-yellow</v>
      </c>
    </row>
    <row r="26" spans="1:19" x14ac:dyDescent="0.3">
      <c r="A26" s="1">
        <v>44473</v>
      </c>
      <c r="B26">
        <v>4</v>
      </c>
      <c r="C26" t="s">
        <v>13</v>
      </c>
      <c r="D26">
        <v>2021</v>
      </c>
      <c r="E26">
        <v>53</v>
      </c>
      <c r="F26" t="s">
        <v>14</v>
      </c>
      <c r="G26" t="s">
        <v>122</v>
      </c>
      <c r="H26" t="s">
        <v>50</v>
      </c>
      <c r="I26" t="s">
        <v>51</v>
      </c>
      <c r="J26" t="s">
        <v>17</v>
      </c>
      <c r="K26" t="s">
        <v>52</v>
      </c>
      <c r="L26">
        <v>4</v>
      </c>
      <c r="M26" s="6">
        <v>713</v>
      </c>
      <c r="N26" s="6">
        <v>1120</v>
      </c>
      <c r="O26" s="6">
        <f>Table1[[#This Row],[Unit_Price]]*Table1[[#This Row],[Order_Quantity]]</f>
        <v>4480</v>
      </c>
      <c r="P26" s="6">
        <f>Table1[[#This Row],[Unit_Cost]]*Table1[[#This Row],[Order_Quantity]]</f>
        <v>2852</v>
      </c>
      <c r="Q26" s="4">
        <f>Table1[[#This Row],[total sales]]-Table1[[#This Row],[total cost]]</f>
        <v>1628</v>
      </c>
      <c r="R26" s="6" t="s">
        <v>138</v>
      </c>
      <c r="S26" s="6" t="str">
        <f>_xlfn.CONCAT(Table1[[#This Row],[Sub_Category]],"-",Table1[[#This Row],[bike colour]])</f>
        <v>Road Bikes-black</v>
      </c>
    </row>
    <row r="27" spans="1:19" x14ac:dyDescent="0.3">
      <c r="A27" s="1">
        <v>44473</v>
      </c>
      <c r="B27">
        <v>4</v>
      </c>
      <c r="C27" t="s">
        <v>13</v>
      </c>
      <c r="D27">
        <v>2021</v>
      </c>
      <c r="E27">
        <v>29</v>
      </c>
      <c r="F27" t="s">
        <v>19</v>
      </c>
      <c r="G27" t="s">
        <v>122</v>
      </c>
      <c r="H27" t="s">
        <v>50</v>
      </c>
      <c r="I27" t="s">
        <v>53</v>
      </c>
      <c r="J27" t="s">
        <v>17</v>
      </c>
      <c r="K27" t="s">
        <v>54</v>
      </c>
      <c r="L27">
        <v>2</v>
      </c>
      <c r="M27" s="6">
        <v>713</v>
      </c>
      <c r="N27" s="6">
        <v>1120</v>
      </c>
      <c r="O27" s="6">
        <f>Table1[[#This Row],[Unit_Price]]*Table1[[#This Row],[Order_Quantity]]</f>
        <v>2240</v>
      </c>
      <c r="P27" s="6">
        <f>Table1[[#This Row],[Unit_Cost]]*Table1[[#This Row],[Order_Quantity]]</f>
        <v>1426</v>
      </c>
      <c r="Q27" s="4">
        <f>Table1[[#This Row],[total sales]]-Table1[[#This Row],[total cost]]</f>
        <v>814</v>
      </c>
      <c r="R27" s="6" t="s">
        <v>137</v>
      </c>
      <c r="S27" s="6" t="str">
        <f>_xlfn.CONCAT(Table1[[#This Row],[Sub_Category]],"-",Table1[[#This Row],[bike colour]])</f>
        <v>Road Bikes-red</v>
      </c>
    </row>
    <row r="28" spans="1:19" x14ac:dyDescent="0.3">
      <c r="A28" s="1">
        <v>44473</v>
      </c>
      <c r="B28">
        <v>4</v>
      </c>
      <c r="C28" t="s">
        <v>13</v>
      </c>
      <c r="D28">
        <v>2021</v>
      </c>
      <c r="E28">
        <v>45</v>
      </c>
      <c r="F28" t="s">
        <v>14</v>
      </c>
      <c r="G28" t="s">
        <v>120</v>
      </c>
      <c r="H28" t="s">
        <v>15</v>
      </c>
      <c r="I28" t="s">
        <v>16</v>
      </c>
      <c r="J28" t="s">
        <v>17</v>
      </c>
      <c r="K28" t="s">
        <v>55</v>
      </c>
      <c r="L28">
        <v>2</v>
      </c>
      <c r="M28" s="6">
        <v>713</v>
      </c>
      <c r="N28" s="6">
        <v>1120</v>
      </c>
      <c r="O28" s="6">
        <f>Table1[[#This Row],[Unit_Price]]*Table1[[#This Row],[Order_Quantity]]</f>
        <v>2240</v>
      </c>
      <c r="P28" s="6">
        <f>Table1[[#This Row],[Unit_Cost]]*Table1[[#This Row],[Order_Quantity]]</f>
        <v>1426</v>
      </c>
      <c r="Q28" s="4">
        <f>Table1[[#This Row],[total sales]]-Table1[[#This Row],[total cost]]</f>
        <v>814</v>
      </c>
      <c r="R28" s="6" t="s">
        <v>138</v>
      </c>
      <c r="S28" s="6" t="str">
        <f>_xlfn.CONCAT(Table1[[#This Row],[Sub_Category]],"-",Table1[[#This Row],[bike colour]])</f>
        <v>Road Bikes-black</v>
      </c>
    </row>
    <row r="29" spans="1:19" x14ac:dyDescent="0.3">
      <c r="A29" s="1">
        <v>44473</v>
      </c>
      <c r="B29">
        <v>4</v>
      </c>
      <c r="C29" t="s">
        <v>13</v>
      </c>
      <c r="D29">
        <v>2021</v>
      </c>
      <c r="E29">
        <v>38</v>
      </c>
      <c r="F29" t="s">
        <v>14</v>
      </c>
      <c r="G29" t="s">
        <v>122</v>
      </c>
      <c r="H29" t="s">
        <v>23</v>
      </c>
      <c r="I29" t="s">
        <v>24</v>
      </c>
      <c r="J29" t="s">
        <v>25</v>
      </c>
      <c r="K29" t="s">
        <v>56</v>
      </c>
      <c r="L29">
        <v>1</v>
      </c>
      <c r="M29" s="6">
        <v>713</v>
      </c>
      <c r="N29" s="6">
        <v>1120</v>
      </c>
      <c r="O29" s="6">
        <f>Table1[[#This Row],[Unit_Price]]*Table1[[#This Row],[Order_Quantity]]</f>
        <v>1120</v>
      </c>
      <c r="P29" s="6">
        <f>Table1[[#This Row],[Unit_Cost]]*Table1[[#This Row],[Order_Quantity]]</f>
        <v>713</v>
      </c>
      <c r="Q29" s="4">
        <f>Table1[[#This Row],[total sales]]-Table1[[#This Row],[total cost]]</f>
        <v>407</v>
      </c>
      <c r="R29" s="6" t="s">
        <v>139</v>
      </c>
      <c r="S29" s="6" t="str">
        <f>_xlfn.CONCAT(Table1[[#This Row],[Sub_Category]],"-",Table1[[#This Row],[bike colour]])</f>
        <v>Mountain Bikes-silver</v>
      </c>
    </row>
    <row r="30" spans="1:19" x14ac:dyDescent="0.3">
      <c r="A30" s="1">
        <v>44473</v>
      </c>
      <c r="B30">
        <v>4</v>
      </c>
      <c r="C30" t="s">
        <v>13</v>
      </c>
      <c r="D30">
        <v>2021</v>
      </c>
      <c r="E30">
        <v>38</v>
      </c>
      <c r="F30" t="s">
        <v>14</v>
      </c>
      <c r="G30" t="s">
        <v>122</v>
      </c>
      <c r="H30" t="s">
        <v>23</v>
      </c>
      <c r="I30" t="s">
        <v>24</v>
      </c>
      <c r="J30" t="s">
        <v>17</v>
      </c>
      <c r="K30" t="s">
        <v>57</v>
      </c>
      <c r="L30">
        <v>1</v>
      </c>
      <c r="M30" s="6">
        <v>713</v>
      </c>
      <c r="N30" s="6">
        <v>1120</v>
      </c>
      <c r="O30" s="6">
        <f>Table1[[#This Row],[Unit_Price]]*Table1[[#This Row],[Order_Quantity]]</f>
        <v>1120</v>
      </c>
      <c r="P30" s="6">
        <f>Table1[[#This Row],[Unit_Cost]]*Table1[[#This Row],[Order_Quantity]]</f>
        <v>713</v>
      </c>
      <c r="Q30" s="4">
        <f>Table1[[#This Row],[total sales]]-Table1[[#This Row],[total cost]]</f>
        <v>407</v>
      </c>
      <c r="R30" s="6" t="s">
        <v>138</v>
      </c>
      <c r="S30" s="6" t="str">
        <f>_xlfn.CONCAT(Table1[[#This Row],[Sub_Category]],"-",Table1[[#This Row],[bike colour]])</f>
        <v>Road Bikes-black</v>
      </c>
    </row>
    <row r="31" spans="1:19" x14ac:dyDescent="0.3">
      <c r="A31" s="1">
        <v>44473</v>
      </c>
      <c r="B31">
        <v>4</v>
      </c>
      <c r="C31" t="s">
        <v>13</v>
      </c>
      <c r="D31">
        <v>2021</v>
      </c>
      <c r="E31">
        <v>54</v>
      </c>
      <c r="F31" t="s">
        <v>14</v>
      </c>
      <c r="G31" t="s">
        <v>120</v>
      </c>
      <c r="H31" t="s">
        <v>23</v>
      </c>
      <c r="I31" t="s">
        <v>24</v>
      </c>
      <c r="J31" t="s">
        <v>17</v>
      </c>
      <c r="K31" t="s">
        <v>55</v>
      </c>
      <c r="L31">
        <v>1</v>
      </c>
      <c r="M31" s="6">
        <v>713</v>
      </c>
      <c r="N31" s="6">
        <v>1120</v>
      </c>
      <c r="O31" s="6">
        <f>Table1[[#This Row],[Unit_Price]]*Table1[[#This Row],[Order_Quantity]]</f>
        <v>1120</v>
      </c>
      <c r="P31" s="6">
        <f>Table1[[#This Row],[Unit_Cost]]*Table1[[#This Row],[Order_Quantity]]</f>
        <v>713</v>
      </c>
      <c r="Q31" s="4">
        <f>Table1[[#This Row],[total sales]]-Table1[[#This Row],[total cost]]</f>
        <v>407</v>
      </c>
      <c r="R31" s="6" t="s">
        <v>138</v>
      </c>
      <c r="S31" s="6" t="str">
        <f>_xlfn.CONCAT(Table1[[#This Row],[Sub_Category]],"-",Table1[[#This Row],[bike colour]])</f>
        <v>Road Bikes-black</v>
      </c>
    </row>
    <row r="32" spans="1:19" x14ac:dyDescent="0.3">
      <c r="A32" s="1">
        <v>44474</v>
      </c>
      <c r="B32">
        <v>5</v>
      </c>
      <c r="C32" t="s">
        <v>13</v>
      </c>
      <c r="D32">
        <v>2021</v>
      </c>
      <c r="E32">
        <v>30</v>
      </c>
      <c r="F32" t="s">
        <v>19</v>
      </c>
      <c r="G32" t="s">
        <v>122</v>
      </c>
      <c r="H32" t="s">
        <v>15</v>
      </c>
      <c r="I32" t="s">
        <v>47</v>
      </c>
      <c r="J32" t="s">
        <v>25</v>
      </c>
      <c r="K32" t="s">
        <v>31</v>
      </c>
      <c r="L32">
        <v>4</v>
      </c>
      <c r="M32" s="6">
        <v>713</v>
      </c>
      <c r="N32" s="6">
        <v>1120</v>
      </c>
      <c r="O32" s="6">
        <f>Table1[[#This Row],[Unit_Price]]*Table1[[#This Row],[Order_Quantity]]</f>
        <v>4480</v>
      </c>
      <c r="P32" s="6">
        <f>Table1[[#This Row],[Unit_Cost]]*Table1[[#This Row],[Order_Quantity]]</f>
        <v>2852</v>
      </c>
      <c r="Q32" s="4">
        <f>Table1[[#This Row],[total sales]]-Table1[[#This Row],[total cost]]</f>
        <v>1628</v>
      </c>
      <c r="R32" s="6" t="s">
        <v>139</v>
      </c>
      <c r="S32" s="6" t="str">
        <f>_xlfn.CONCAT(Table1[[#This Row],[Sub_Category]],"-",Table1[[#This Row],[bike colour]])</f>
        <v>Mountain Bikes-silver</v>
      </c>
    </row>
    <row r="33" spans="1:19" x14ac:dyDescent="0.3">
      <c r="A33" s="1">
        <v>44474</v>
      </c>
      <c r="B33">
        <v>5</v>
      </c>
      <c r="C33" t="s">
        <v>13</v>
      </c>
      <c r="D33">
        <v>2021</v>
      </c>
      <c r="E33">
        <v>40</v>
      </c>
      <c r="F33" t="s">
        <v>14</v>
      </c>
      <c r="G33" t="s">
        <v>122</v>
      </c>
      <c r="H33" t="s">
        <v>42</v>
      </c>
      <c r="I33" t="s">
        <v>58</v>
      </c>
      <c r="J33" t="s">
        <v>17</v>
      </c>
      <c r="K33" t="s">
        <v>46</v>
      </c>
      <c r="L33">
        <v>1</v>
      </c>
      <c r="M33" s="6">
        <v>713</v>
      </c>
      <c r="N33" s="6">
        <v>1120</v>
      </c>
      <c r="O33" s="6">
        <f>Table1[[#This Row],[Unit_Price]]*Table1[[#This Row],[Order_Quantity]]</f>
        <v>1120</v>
      </c>
      <c r="P33" s="6">
        <f>Table1[[#This Row],[Unit_Cost]]*Table1[[#This Row],[Order_Quantity]]</f>
        <v>713</v>
      </c>
      <c r="Q33" s="4">
        <f>Table1[[#This Row],[total sales]]-Table1[[#This Row],[total cost]]</f>
        <v>407</v>
      </c>
      <c r="R33" s="6" t="s">
        <v>137</v>
      </c>
      <c r="S33" s="6" t="str">
        <f>_xlfn.CONCAT(Table1[[#This Row],[Sub_Category]],"-",Table1[[#This Row],[bike colour]])</f>
        <v>Road Bikes-red</v>
      </c>
    </row>
    <row r="34" spans="1:19" x14ac:dyDescent="0.3">
      <c r="A34" s="1">
        <v>44474</v>
      </c>
      <c r="B34">
        <v>5</v>
      </c>
      <c r="C34" t="s">
        <v>13</v>
      </c>
      <c r="D34">
        <v>2021</v>
      </c>
      <c r="E34">
        <v>47</v>
      </c>
      <c r="F34" t="s">
        <v>14</v>
      </c>
      <c r="G34" t="s">
        <v>120</v>
      </c>
      <c r="H34" t="s">
        <v>27</v>
      </c>
      <c r="I34" t="s">
        <v>45</v>
      </c>
      <c r="J34" t="s">
        <v>17</v>
      </c>
      <c r="K34" t="s">
        <v>59</v>
      </c>
      <c r="L34">
        <v>1</v>
      </c>
      <c r="M34" s="6">
        <v>713</v>
      </c>
      <c r="N34" s="6">
        <v>1120</v>
      </c>
      <c r="O34" s="6">
        <f>Table1[[#This Row],[Unit_Price]]*Table1[[#This Row],[Order_Quantity]]</f>
        <v>1120</v>
      </c>
      <c r="P34" s="6">
        <f>Table1[[#This Row],[Unit_Cost]]*Table1[[#This Row],[Order_Quantity]]</f>
        <v>713</v>
      </c>
      <c r="Q34" s="4">
        <f>Table1[[#This Row],[total sales]]-Table1[[#This Row],[total cost]]</f>
        <v>407</v>
      </c>
      <c r="R34" s="6" t="s">
        <v>137</v>
      </c>
      <c r="S34" s="6" t="str">
        <f>_xlfn.CONCAT(Table1[[#This Row],[Sub_Category]],"-",Table1[[#This Row],[bike colour]])</f>
        <v>Road Bikes-red</v>
      </c>
    </row>
    <row r="35" spans="1:19" x14ac:dyDescent="0.3">
      <c r="A35" s="1">
        <v>44475</v>
      </c>
      <c r="B35">
        <v>6</v>
      </c>
      <c r="C35" t="s">
        <v>13</v>
      </c>
      <c r="D35">
        <v>2021</v>
      </c>
      <c r="E35">
        <v>30</v>
      </c>
      <c r="F35" t="s">
        <v>19</v>
      </c>
      <c r="G35" t="s">
        <v>120</v>
      </c>
      <c r="H35" t="s">
        <v>15</v>
      </c>
      <c r="I35" t="s">
        <v>16</v>
      </c>
      <c r="J35" t="s">
        <v>25</v>
      </c>
      <c r="K35" t="s">
        <v>60</v>
      </c>
      <c r="L35">
        <v>4</v>
      </c>
      <c r="M35" s="6">
        <v>713</v>
      </c>
      <c r="N35" s="6">
        <v>1120</v>
      </c>
      <c r="O35" s="6">
        <f>Table1[[#This Row],[Unit_Price]]*Table1[[#This Row],[Order_Quantity]]</f>
        <v>4480</v>
      </c>
      <c r="P35" s="6">
        <f>Table1[[#This Row],[Unit_Cost]]*Table1[[#This Row],[Order_Quantity]]</f>
        <v>2852</v>
      </c>
      <c r="Q35" s="4">
        <f>Table1[[#This Row],[total sales]]-Table1[[#This Row],[total cost]]</f>
        <v>1628</v>
      </c>
      <c r="R35" s="6" t="s">
        <v>138</v>
      </c>
      <c r="S35" s="6" t="str">
        <f>_xlfn.CONCAT(Table1[[#This Row],[Sub_Category]],"-",Table1[[#This Row],[bike colour]])</f>
        <v>Mountain Bikes-black</v>
      </c>
    </row>
    <row r="36" spans="1:19" x14ac:dyDescent="0.3">
      <c r="A36" s="1">
        <v>44475</v>
      </c>
      <c r="B36">
        <v>6</v>
      </c>
      <c r="C36" t="s">
        <v>13</v>
      </c>
      <c r="D36">
        <v>2021</v>
      </c>
      <c r="E36">
        <v>37</v>
      </c>
      <c r="F36" t="s">
        <v>14</v>
      </c>
      <c r="G36" t="s">
        <v>122</v>
      </c>
      <c r="H36" t="s">
        <v>27</v>
      </c>
      <c r="I36" t="s">
        <v>33</v>
      </c>
      <c r="J36" t="s">
        <v>17</v>
      </c>
      <c r="K36" t="s">
        <v>36</v>
      </c>
      <c r="L36">
        <v>4</v>
      </c>
      <c r="M36" s="6">
        <v>713</v>
      </c>
      <c r="N36" s="6">
        <v>1120</v>
      </c>
      <c r="O36" s="6">
        <f>Table1[[#This Row],[Unit_Price]]*Table1[[#This Row],[Order_Quantity]]</f>
        <v>4480</v>
      </c>
      <c r="P36" s="6">
        <f>Table1[[#This Row],[Unit_Cost]]*Table1[[#This Row],[Order_Quantity]]</f>
        <v>2852</v>
      </c>
      <c r="Q36" s="4">
        <f>Table1[[#This Row],[total sales]]-Table1[[#This Row],[total cost]]</f>
        <v>1628</v>
      </c>
      <c r="R36" s="6" t="s">
        <v>136</v>
      </c>
      <c r="S36" s="6" t="str">
        <f>_xlfn.CONCAT(Table1[[#This Row],[Sub_Category]],"-",Table1[[#This Row],[bike colour]])</f>
        <v>Road Bikes-yellow</v>
      </c>
    </row>
    <row r="37" spans="1:19" x14ac:dyDescent="0.3">
      <c r="A37" s="1">
        <v>44475</v>
      </c>
      <c r="B37">
        <v>6</v>
      </c>
      <c r="C37" t="s">
        <v>13</v>
      </c>
      <c r="D37">
        <v>2021</v>
      </c>
      <c r="E37">
        <v>26</v>
      </c>
      <c r="F37" t="s">
        <v>19</v>
      </c>
      <c r="G37" t="s">
        <v>120</v>
      </c>
      <c r="H37" t="s">
        <v>27</v>
      </c>
      <c r="I37" t="s">
        <v>33</v>
      </c>
      <c r="J37" t="s">
        <v>25</v>
      </c>
      <c r="K37" t="s">
        <v>61</v>
      </c>
      <c r="L37">
        <v>3</v>
      </c>
      <c r="M37" s="6">
        <v>713</v>
      </c>
      <c r="N37" s="6">
        <v>1120</v>
      </c>
      <c r="O37" s="6">
        <f>Table1[[#This Row],[Unit_Price]]*Table1[[#This Row],[Order_Quantity]]</f>
        <v>3360</v>
      </c>
      <c r="P37" s="6">
        <f>Table1[[#This Row],[Unit_Cost]]*Table1[[#This Row],[Order_Quantity]]</f>
        <v>2139</v>
      </c>
      <c r="Q37" s="4">
        <f>Table1[[#This Row],[total sales]]-Table1[[#This Row],[total cost]]</f>
        <v>1221</v>
      </c>
      <c r="R37" s="6" t="s">
        <v>138</v>
      </c>
      <c r="S37" s="6" t="str">
        <f>_xlfn.CONCAT(Table1[[#This Row],[Sub_Category]],"-",Table1[[#This Row],[bike colour]])</f>
        <v>Mountain Bikes-black</v>
      </c>
    </row>
    <row r="38" spans="1:19" x14ac:dyDescent="0.3">
      <c r="A38" s="1">
        <v>44475</v>
      </c>
      <c r="B38">
        <v>6</v>
      </c>
      <c r="C38" t="s">
        <v>13</v>
      </c>
      <c r="D38">
        <v>2021</v>
      </c>
      <c r="E38">
        <v>32</v>
      </c>
      <c r="F38" t="s">
        <v>19</v>
      </c>
      <c r="G38" t="s">
        <v>120</v>
      </c>
      <c r="H38" t="s">
        <v>15</v>
      </c>
      <c r="I38" t="s">
        <v>47</v>
      </c>
      <c r="J38" t="s">
        <v>25</v>
      </c>
      <c r="K38" t="s">
        <v>26</v>
      </c>
      <c r="L38">
        <v>3</v>
      </c>
      <c r="M38" s="6">
        <v>713</v>
      </c>
      <c r="N38" s="6">
        <v>1120</v>
      </c>
      <c r="O38" s="6">
        <f>Table1[[#This Row],[Unit_Price]]*Table1[[#This Row],[Order_Quantity]]</f>
        <v>3360</v>
      </c>
      <c r="P38" s="6">
        <f>Table1[[#This Row],[Unit_Cost]]*Table1[[#This Row],[Order_Quantity]]</f>
        <v>2139</v>
      </c>
      <c r="Q38" s="4">
        <f>Table1[[#This Row],[total sales]]-Table1[[#This Row],[total cost]]</f>
        <v>1221</v>
      </c>
      <c r="R38" s="6" t="s">
        <v>138</v>
      </c>
      <c r="S38" s="6" t="str">
        <f>_xlfn.CONCAT(Table1[[#This Row],[Sub_Category]],"-",Table1[[#This Row],[bike colour]])</f>
        <v>Mountain Bikes-black</v>
      </c>
    </row>
    <row r="39" spans="1:19" x14ac:dyDescent="0.3">
      <c r="A39" s="1">
        <v>44475</v>
      </c>
      <c r="B39">
        <v>6</v>
      </c>
      <c r="C39" t="s">
        <v>13</v>
      </c>
      <c r="D39">
        <v>2021</v>
      </c>
      <c r="E39">
        <v>24</v>
      </c>
      <c r="F39" t="s">
        <v>49</v>
      </c>
      <c r="G39" t="s">
        <v>120</v>
      </c>
      <c r="H39" t="s">
        <v>27</v>
      </c>
      <c r="I39" t="s">
        <v>45</v>
      </c>
      <c r="J39" t="s">
        <v>17</v>
      </c>
      <c r="K39" t="s">
        <v>18</v>
      </c>
      <c r="L39">
        <v>2</v>
      </c>
      <c r="M39" s="6">
        <v>713</v>
      </c>
      <c r="N39" s="6">
        <v>1120</v>
      </c>
      <c r="O39" s="6">
        <f>Table1[[#This Row],[Unit_Price]]*Table1[[#This Row],[Order_Quantity]]</f>
        <v>2240</v>
      </c>
      <c r="P39" s="6">
        <f>Table1[[#This Row],[Unit_Cost]]*Table1[[#This Row],[Order_Quantity]]</f>
        <v>1426</v>
      </c>
      <c r="Q39" s="4">
        <f>Table1[[#This Row],[total sales]]-Table1[[#This Row],[total cost]]</f>
        <v>814</v>
      </c>
      <c r="R39" s="6" t="s">
        <v>136</v>
      </c>
      <c r="S39" s="6" t="str">
        <f>_xlfn.CONCAT(Table1[[#This Row],[Sub_Category]],"-",Table1[[#This Row],[bike colour]])</f>
        <v>Road Bikes-yellow</v>
      </c>
    </row>
    <row r="40" spans="1:19" x14ac:dyDescent="0.3">
      <c r="A40" s="1">
        <v>44475</v>
      </c>
      <c r="B40">
        <v>6</v>
      </c>
      <c r="C40" t="s">
        <v>13</v>
      </c>
      <c r="D40">
        <v>2021</v>
      </c>
      <c r="E40">
        <v>26</v>
      </c>
      <c r="F40" t="s">
        <v>19</v>
      </c>
      <c r="G40" t="s">
        <v>122</v>
      </c>
      <c r="H40" t="s">
        <v>27</v>
      </c>
      <c r="I40" t="s">
        <v>45</v>
      </c>
      <c r="J40" t="s">
        <v>17</v>
      </c>
      <c r="K40" t="s">
        <v>55</v>
      </c>
      <c r="L40">
        <v>1</v>
      </c>
      <c r="M40" s="6">
        <v>713</v>
      </c>
      <c r="N40" s="6">
        <v>1120</v>
      </c>
      <c r="O40" s="6">
        <f>Table1[[#This Row],[Unit_Price]]*Table1[[#This Row],[Order_Quantity]]</f>
        <v>1120</v>
      </c>
      <c r="P40" s="6">
        <f>Table1[[#This Row],[Unit_Cost]]*Table1[[#This Row],[Order_Quantity]]</f>
        <v>713</v>
      </c>
      <c r="Q40" s="4">
        <f>Table1[[#This Row],[total sales]]-Table1[[#This Row],[total cost]]</f>
        <v>407</v>
      </c>
      <c r="R40" s="6" t="s">
        <v>138</v>
      </c>
      <c r="S40" s="6" t="str">
        <f>_xlfn.CONCAT(Table1[[#This Row],[Sub_Category]],"-",Table1[[#This Row],[bike colour]])</f>
        <v>Road Bikes-black</v>
      </c>
    </row>
    <row r="41" spans="1:19" x14ac:dyDescent="0.3">
      <c r="A41" s="1">
        <v>44475</v>
      </c>
      <c r="B41">
        <v>6</v>
      </c>
      <c r="C41" t="s">
        <v>13</v>
      </c>
      <c r="D41">
        <v>2021</v>
      </c>
      <c r="E41">
        <v>29</v>
      </c>
      <c r="F41" t="s">
        <v>19</v>
      </c>
      <c r="G41" t="s">
        <v>120</v>
      </c>
      <c r="H41" t="s">
        <v>50</v>
      </c>
      <c r="I41" t="s">
        <v>51</v>
      </c>
      <c r="J41" t="s">
        <v>25</v>
      </c>
      <c r="K41" t="s">
        <v>62</v>
      </c>
      <c r="L41">
        <v>1</v>
      </c>
      <c r="M41" s="6">
        <v>713</v>
      </c>
      <c r="N41" s="6">
        <v>1120</v>
      </c>
      <c r="O41" s="6">
        <f>Table1[[#This Row],[Unit_Price]]*Table1[[#This Row],[Order_Quantity]]</f>
        <v>1120</v>
      </c>
      <c r="P41" s="6">
        <f>Table1[[#This Row],[Unit_Cost]]*Table1[[#This Row],[Order_Quantity]]</f>
        <v>713</v>
      </c>
      <c r="Q41" s="4">
        <f>Table1[[#This Row],[total sales]]-Table1[[#This Row],[total cost]]</f>
        <v>407</v>
      </c>
      <c r="R41" s="6" t="s">
        <v>139</v>
      </c>
      <c r="S41" s="6" t="str">
        <f>_xlfn.CONCAT(Table1[[#This Row],[Sub_Category]],"-",Table1[[#This Row],[bike colour]])</f>
        <v>Mountain Bikes-silver</v>
      </c>
    </row>
    <row r="42" spans="1:19" x14ac:dyDescent="0.3">
      <c r="A42" s="1">
        <v>44476</v>
      </c>
      <c r="B42">
        <v>7</v>
      </c>
      <c r="C42" t="s">
        <v>13</v>
      </c>
      <c r="D42">
        <v>2021</v>
      </c>
      <c r="E42">
        <v>43</v>
      </c>
      <c r="F42" t="s">
        <v>14</v>
      </c>
      <c r="G42" t="s">
        <v>122</v>
      </c>
      <c r="H42" t="s">
        <v>27</v>
      </c>
      <c r="I42" t="s">
        <v>33</v>
      </c>
      <c r="J42" t="s">
        <v>17</v>
      </c>
      <c r="K42" t="s">
        <v>38</v>
      </c>
      <c r="L42">
        <v>4</v>
      </c>
      <c r="M42" s="6">
        <v>713</v>
      </c>
      <c r="N42" s="6">
        <v>1120</v>
      </c>
      <c r="O42" s="6">
        <f>Table1[[#This Row],[Unit_Price]]*Table1[[#This Row],[Order_Quantity]]</f>
        <v>4480</v>
      </c>
      <c r="P42" s="6">
        <f>Table1[[#This Row],[Unit_Cost]]*Table1[[#This Row],[Order_Quantity]]</f>
        <v>2852</v>
      </c>
      <c r="Q42" s="4">
        <f>Table1[[#This Row],[total sales]]-Table1[[#This Row],[total cost]]</f>
        <v>1628</v>
      </c>
      <c r="R42" s="6" t="s">
        <v>137</v>
      </c>
      <c r="S42" s="6" t="str">
        <f>_xlfn.CONCAT(Table1[[#This Row],[Sub_Category]],"-",Table1[[#This Row],[bike colour]])</f>
        <v>Road Bikes-red</v>
      </c>
    </row>
    <row r="43" spans="1:19" x14ac:dyDescent="0.3">
      <c r="A43" s="1">
        <v>44476</v>
      </c>
      <c r="B43">
        <v>7</v>
      </c>
      <c r="C43" t="s">
        <v>13</v>
      </c>
      <c r="D43">
        <v>2021</v>
      </c>
      <c r="E43">
        <v>32</v>
      </c>
      <c r="F43" t="s">
        <v>19</v>
      </c>
      <c r="G43" t="s">
        <v>120</v>
      </c>
      <c r="H43" t="s">
        <v>27</v>
      </c>
      <c r="I43" t="s">
        <v>28</v>
      </c>
      <c r="J43" t="s">
        <v>25</v>
      </c>
      <c r="K43" t="s">
        <v>56</v>
      </c>
      <c r="L43">
        <v>3</v>
      </c>
      <c r="M43" s="6">
        <v>713</v>
      </c>
      <c r="N43" s="6">
        <v>1120</v>
      </c>
      <c r="O43" s="6">
        <f>Table1[[#This Row],[Unit_Price]]*Table1[[#This Row],[Order_Quantity]]</f>
        <v>3360</v>
      </c>
      <c r="P43" s="6">
        <f>Table1[[#This Row],[Unit_Cost]]*Table1[[#This Row],[Order_Quantity]]</f>
        <v>2139</v>
      </c>
      <c r="Q43" s="4">
        <f>Table1[[#This Row],[total sales]]-Table1[[#This Row],[total cost]]</f>
        <v>1221</v>
      </c>
      <c r="R43" s="6" t="s">
        <v>139</v>
      </c>
      <c r="S43" s="6" t="str">
        <f>_xlfn.CONCAT(Table1[[#This Row],[Sub_Category]],"-",Table1[[#This Row],[bike colour]])</f>
        <v>Mountain Bikes-silver</v>
      </c>
    </row>
    <row r="44" spans="1:19" x14ac:dyDescent="0.3">
      <c r="A44" s="1">
        <v>44476</v>
      </c>
      <c r="B44">
        <v>7</v>
      </c>
      <c r="C44" t="s">
        <v>13</v>
      </c>
      <c r="D44">
        <v>2021</v>
      </c>
      <c r="E44">
        <v>36</v>
      </c>
      <c r="F44" t="s">
        <v>14</v>
      </c>
      <c r="G44" t="s">
        <v>120</v>
      </c>
      <c r="H44" t="s">
        <v>27</v>
      </c>
      <c r="I44" t="s">
        <v>28</v>
      </c>
      <c r="J44" t="s">
        <v>17</v>
      </c>
      <c r="K44" t="s">
        <v>63</v>
      </c>
      <c r="L44">
        <v>3</v>
      </c>
      <c r="M44" s="6">
        <v>713</v>
      </c>
      <c r="N44" s="6">
        <v>1120</v>
      </c>
      <c r="O44" s="6">
        <f>Table1[[#This Row],[Unit_Price]]*Table1[[#This Row],[Order_Quantity]]</f>
        <v>3360</v>
      </c>
      <c r="P44" s="6">
        <f>Table1[[#This Row],[Unit_Cost]]*Table1[[#This Row],[Order_Quantity]]</f>
        <v>2139</v>
      </c>
      <c r="Q44" s="4">
        <f>Table1[[#This Row],[total sales]]-Table1[[#This Row],[total cost]]</f>
        <v>1221</v>
      </c>
      <c r="R44" s="6" t="s">
        <v>136</v>
      </c>
      <c r="S44" s="6" t="str">
        <f>_xlfn.CONCAT(Table1[[#This Row],[Sub_Category]],"-",Table1[[#This Row],[bike colour]])</f>
        <v>Road Bikes-yellow</v>
      </c>
    </row>
    <row r="45" spans="1:19" x14ac:dyDescent="0.3">
      <c r="A45" s="1">
        <v>44476</v>
      </c>
      <c r="B45">
        <v>7</v>
      </c>
      <c r="C45" t="s">
        <v>13</v>
      </c>
      <c r="D45">
        <v>2021</v>
      </c>
      <c r="E45">
        <v>46</v>
      </c>
      <c r="F45" t="s">
        <v>14</v>
      </c>
      <c r="G45" t="s">
        <v>120</v>
      </c>
      <c r="H45" t="s">
        <v>15</v>
      </c>
      <c r="I45" t="s">
        <v>16</v>
      </c>
      <c r="J45" t="s">
        <v>17</v>
      </c>
      <c r="K45" t="s">
        <v>64</v>
      </c>
      <c r="L45">
        <v>2</v>
      </c>
      <c r="M45" s="6">
        <v>713</v>
      </c>
      <c r="N45" s="6">
        <v>1120</v>
      </c>
      <c r="O45" s="6">
        <f>Table1[[#This Row],[Unit_Price]]*Table1[[#This Row],[Order_Quantity]]</f>
        <v>2240</v>
      </c>
      <c r="P45" s="6">
        <f>Table1[[#This Row],[Unit_Cost]]*Table1[[#This Row],[Order_Quantity]]</f>
        <v>1426</v>
      </c>
      <c r="Q45" s="4">
        <f>Table1[[#This Row],[total sales]]-Table1[[#This Row],[total cost]]</f>
        <v>814</v>
      </c>
      <c r="R45" s="6" t="s">
        <v>136</v>
      </c>
      <c r="S45" s="6" t="str">
        <f>_xlfn.CONCAT(Table1[[#This Row],[Sub_Category]],"-",Table1[[#This Row],[bike colour]])</f>
        <v>Road Bikes-yellow</v>
      </c>
    </row>
    <row r="46" spans="1:19" x14ac:dyDescent="0.3">
      <c r="A46" s="1">
        <v>44476</v>
      </c>
      <c r="B46">
        <v>7</v>
      </c>
      <c r="C46" t="s">
        <v>13</v>
      </c>
      <c r="D46">
        <v>2021</v>
      </c>
      <c r="E46">
        <v>37</v>
      </c>
      <c r="F46" t="s">
        <v>14</v>
      </c>
      <c r="G46" t="s">
        <v>120</v>
      </c>
      <c r="H46" t="s">
        <v>27</v>
      </c>
      <c r="I46" t="s">
        <v>33</v>
      </c>
      <c r="J46" t="s">
        <v>17</v>
      </c>
      <c r="K46" t="s">
        <v>65</v>
      </c>
      <c r="L46">
        <v>1</v>
      </c>
      <c r="M46" s="6">
        <v>713</v>
      </c>
      <c r="N46" s="6">
        <v>1120</v>
      </c>
      <c r="O46" s="6">
        <f>Table1[[#This Row],[Unit_Price]]*Table1[[#This Row],[Order_Quantity]]</f>
        <v>1120</v>
      </c>
      <c r="P46" s="6">
        <f>Table1[[#This Row],[Unit_Cost]]*Table1[[#This Row],[Order_Quantity]]</f>
        <v>713</v>
      </c>
      <c r="Q46" s="4">
        <f>Table1[[#This Row],[total sales]]-Table1[[#This Row],[total cost]]</f>
        <v>407</v>
      </c>
      <c r="R46" s="6" t="s">
        <v>136</v>
      </c>
      <c r="S46" s="6" t="str">
        <f>_xlfn.CONCAT(Table1[[#This Row],[Sub_Category]],"-",Table1[[#This Row],[bike colour]])</f>
        <v>Road Bikes-yellow</v>
      </c>
    </row>
    <row r="47" spans="1:19" x14ac:dyDescent="0.3">
      <c r="A47" s="1">
        <v>44476</v>
      </c>
      <c r="B47">
        <v>7</v>
      </c>
      <c r="C47" t="s">
        <v>13</v>
      </c>
      <c r="D47">
        <v>2021</v>
      </c>
      <c r="E47">
        <v>41</v>
      </c>
      <c r="F47" t="s">
        <v>14</v>
      </c>
      <c r="G47" t="s">
        <v>122</v>
      </c>
      <c r="H47" t="s">
        <v>27</v>
      </c>
      <c r="I47" t="s">
        <v>28</v>
      </c>
      <c r="J47" t="s">
        <v>17</v>
      </c>
      <c r="K47" t="s">
        <v>66</v>
      </c>
      <c r="L47">
        <v>1</v>
      </c>
      <c r="M47" s="6">
        <v>713</v>
      </c>
      <c r="N47" s="6">
        <v>1120</v>
      </c>
      <c r="O47" s="6">
        <f>Table1[[#This Row],[Unit_Price]]*Table1[[#This Row],[Order_Quantity]]</f>
        <v>1120</v>
      </c>
      <c r="P47" s="6">
        <f>Table1[[#This Row],[Unit_Cost]]*Table1[[#This Row],[Order_Quantity]]</f>
        <v>713</v>
      </c>
      <c r="Q47" s="4">
        <f>Table1[[#This Row],[total sales]]-Table1[[#This Row],[total cost]]</f>
        <v>407</v>
      </c>
      <c r="R47" s="6" t="s">
        <v>138</v>
      </c>
      <c r="S47" s="6" t="str">
        <f>_xlfn.CONCAT(Table1[[#This Row],[Sub_Category]],"-",Table1[[#This Row],[bike colour]])</f>
        <v>Road Bikes-black</v>
      </c>
    </row>
    <row r="48" spans="1:19" x14ac:dyDescent="0.3">
      <c r="A48" s="1">
        <v>44476</v>
      </c>
      <c r="B48">
        <v>7</v>
      </c>
      <c r="C48" t="s">
        <v>13</v>
      </c>
      <c r="D48">
        <v>2021</v>
      </c>
      <c r="E48">
        <v>46</v>
      </c>
      <c r="F48" t="s">
        <v>14</v>
      </c>
      <c r="G48" t="s">
        <v>122</v>
      </c>
      <c r="H48" t="s">
        <v>15</v>
      </c>
      <c r="I48" t="s">
        <v>16</v>
      </c>
      <c r="J48" t="s">
        <v>17</v>
      </c>
      <c r="K48" t="s">
        <v>38</v>
      </c>
      <c r="L48">
        <v>1</v>
      </c>
      <c r="M48" s="6">
        <v>713</v>
      </c>
      <c r="N48" s="6">
        <v>1120</v>
      </c>
      <c r="O48" s="6">
        <f>Table1[[#This Row],[Unit_Price]]*Table1[[#This Row],[Order_Quantity]]</f>
        <v>1120</v>
      </c>
      <c r="P48" s="6">
        <f>Table1[[#This Row],[Unit_Cost]]*Table1[[#This Row],[Order_Quantity]]</f>
        <v>713</v>
      </c>
      <c r="Q48" s="4">
        <f>Table1[[#This Row],[total sales]]-Table1[[#This Row],[total cost]]</f>
        <v>407</v>
      </c>
      <c r="R48" s="6" t="s">
        <v>137</v>
      </c>
      <c r="S48" s="6" t="str">
        <f>_xlfn.CONCAT(Table1[[#This Row],[Sub_Category]],"-",Table1[[#This Row],[bike colour]])</f>
        <v>Road Bikes-red</v>
      </c>
    </row>
    <row r="49" spans="1:19" x14ac:dyDescent="0.3">
      <c r="A49" s="1">
        <v>44477</v>
      </c>
      <c r="B49">
        <v>8</v>
      </c>
      <c r="C49" t="s">
        <v>13</v>
      </c>
      <c r="D49">
        <v>2021</v>
      </c>
      <c r="E49">
        <v>35</v>
      </c>
      <c r="F49" t="s">
        <v>14</v>
      </c>
      <c r="G49" t="s">
        <v>120</v>
      </c>
      <c r="H49" t="s">
        <v>20</v>
      </c>
      <c r="I49" t="s">
        <v>21</v>
      </c>
      <c r="J49" t="s">
        <v>17</v>
      </c>
      <c r="K49" t="s">
        <v>55</v>
      </c>
      <c r="L49">
        <v>4</v>
      </c>
      <c r="M49" s="6">
        <v>713</v>
      </c>
      <c r="N49" s="6">
        <v>1120</v>
      </c>
      <c r="O49" s="6">
        <f>Table1[[#This Row],[Unit_Price]]*Table1[[#This Row],[Order_Quantity]]</f>
        <v>4480</v>
      </c>
      <c r="P49" s="6">
        <f>Table1[[#This Row],[Unit_Cost]]*Table1[[#This Row],[Order_Quantity]]</f>
        <v>2852</v>
      </c>
      <c r="Q49" s="4">
        <f>Table1[[#This Row],[total sales]]-Table1[[#This Row],[total cost]]</f>
        <v>1628</v>
      </c>
      <c r="R49" s="6" t="s">
        <v>138</v>
      </c>
      <c r="S49" s="6" t="str">
        <f>_xlfn.CONCAT(Table1[[#This Row],[Sub_Category]],"-",Table1[[#This Row],[bike colour]])</f>
        <v>Road Bikes-black</v>
      </c>
    </row>
    <row r="50" spans="1:19" x14ac:dyDescent="0.3">
      <c r="A50" s="1">
        <v>44477</v>
      </c>
      <c r="B50">
        <v>8</v>
      </c>
      <c r="C50" t="s">
        <v>13</v>
      </c>
      <c r="D50">
        <v>2021</v>
      </c>
      <c r="E50">
        <v>41</v>
      </c>
      <c r="F50" t="s">
        <v>14</v>
      </c>
      <c r="G50" t="s">
        <v>120</v>
      </c>
      <c r="H50" t="s">
        <v>27</v>
      </c>
      <c r="I50" t="s">
        <v>33</v>
      </c>
      <c r="J50" t="s">
        <v>25</v>
      </c>
      <c r="K50" t="s">
        <v>67</v>
      </c>
      <c r="L50">
        <v>4</v>
      </c>
      <c r="M50" s="6">
        <v>713</v>
      </c>
      <c r="N50" s="6">
        <v>1120</v>
      </c>
      <c r="O50" s="6">
        <f>Table1[[#This Row],[Unit_Price]]*Table1[[#This Row],[Order_Quantity]]</f>
        <v>4480</v>
      </c>
      <c r="P50" s="6">
        <f>Table1[[#This Row],[Unit_Cost]]*Table1[[#This Row],[Order_Quantity]]</f>
        <v>2852</v>
      </c>
      <c r="Q50" s="4">
        <f>Table1[[#This Row],[total sales]]-Table1[[#This Row],[total cost]]</f>
        <v>1628</v>
      </c>
      <c r="R50" s="6" t="s">
        <v>139</v>
      </c>
      <c r="S50" s="6" t="str">
        <f>_xlfn.CONCAT(Table1[[#This Row],[Sub_Category]],"-",Table1[[#This Row],[bike colour]])</f>
        <v>Mountain Bikes-silver</v>
      </c>
    </row>
    <row r="51" spans="1:19" x14ac:dyDescent="0.3">
      <c r="A51" s="1">
        <v>44477</v>
      </c>
      <c r="B51">
        <v>8</v>
      </c>
      <c r="C51" t="s">
        <v>13</v>
      </c>
      <c r="D51">
        <v>2021</v>
      </c>
      <c r="E51">
        <v>55</v>
      </c>
      <c r="F51" t="s">
        <v>14</v>
      </c>
      <c r="G51" t="s">
        <v>122</v>
      </c>
      <c r="H51" t="s">
        <v>27</v>
      </c>
      <c r="I51" t="s">
        <v>45</v>
      </c>
      <c r="J51" t="s">
        <v>17</v>
      </c>
      <c r="K51" t="s">
        <v>64</v>
      </c>
      <c r="L51">
        <v>4</v>
      </c>
      <c r="M51" s="6">
        <v>713</v>
      </c>
      <c r="N51" s="6">
        <v>1120</v>
      </c>
      <c r="O51" s="6">
        <f>Table1[[#This Row],[Unit_Price]]*Table1[[#This Row],[Order_Quantity]]</f>
        <v>4480</v>
      </c>
      <c r="P51" s="6">
        <f>Table1[[#This Row],[Unit_Cost]]*Table1[[#This Row],[Order_Quantity]]</f>
        <v>2852</v>
      </c>
      <c r="Q51" s="4">
        <f>Table1[[#This Row],[total sales]]-Table1[[#This Row],[total cost]]</f>
        <v>1628</v>
      </c>
      <c r="R51" s="6" t="s">
        <v>136</v>
      </c>
      <c r="S51" s="6" t="str">
        <f>_xlfn.CONCAT(Table1[[#This Row],[Sub_Category]],"-",Table1[[#This Row],[bike colour]])</f>
        <v>Road Bikes-yellow</v>
      </c>
    </row>
    <row r="52" spans="1:19" x14ac:dyDescent="0.3">
      <c r="A52" s="1">
        <v>44477</v>
      </c>
      <c r="B52">
        <v>8</v>
      </c>
      <c r="C52" t="s">
        <v>13</v>
      </c>
      <c r="D52">
        <v>2021</v>
      </c>
      <c r="E52">
        <v>31</v>
      </c>
      <c r="F52" t="s">
        <v>19</v>
      </c>
      <c r="G52" t="s">
        <v>120</v>
      </c>
      <c r="H52" t="s">
        <v>42</v>
      </c>
      <c r="I52" t="s">
        <v>68</v>
      </c>
      <c r="J52" t="s">
        <v>17</v>
      </c>
      <c r="K52" t="s">
        <v>40</v>
      </c>
      <c r="L52">
        <v>3</v>
      </c>
      <c r="M52" s="6">
        <v>713</v>
      </c>
      <c r="N52" s="6">
        <v>1120</v>
      </c>
      <c r="O52" s="6">
        <f>Table1[[#This Row],[Unit_Price]]*Table1[[#This Row],[Order_Quantity]]</f>
        <v>3360</v>
      </c>
      <c r="P52" s="6">
        <f>Table1[[#This Row],[Unit_Cost]]*Table1[[#This Row],[Order_Quantity]]</f>
        <v>2139</v>
      </c>
      <c r="Q52" s="4">
        <f>Table1[[#This Row],[total sales]]-Table1[[#This Row],[total cost]]</f>
        <v>1221</v>
      </c>
      <c r="R52" s="6" t="s">
        <v>138</v>
      </c>
      <c r="S52" s="6" t="str">
        <f>_xlfn.CONCAT(Table1[[#This Row],[Sub_Category]],"-",Table1[[#This Row],[bike colour]])</f>
        <v>Road Bikes-black</v>
      </c>
    </row>
    <row r="53" spans="1:19" x14ac:dyDescent="0.3">
      <c r="A53" s="1">
        <v>44477</v>
      </c>
      <c r="B53">
        <v>8</v>
      </c>
      <c r="C53" t="s">
        <v>13</v>
      </c>
      <c r="D53">
        <v>2021</v>
      </c>
      <c r="E53">
        <v>41</v>
      </c>
      <c r="F53" t="s">
        <v>14</v>
      </c>
      <c r="G53" t="s">
        <v>122</v>
      </c>
      <c r="H53" t="s">
        <v>27</v>
      </c>
      <c r="I53" t="s">
        <v>30</v>
      </c>
      <c r="J53" t="s">
        <v>17</v>
      </c>
      <c r="K53" t="s">
        <v>66</v>
      </c>
      <c r="L53">
        <v>3</v>
      </c>
      <c r="M53" s="6">
        <v>713</v>
      </c>
      <c r="N53" s="6">
        <v>1120</v>
      </c>
      <c r="O53" s="6">
        <f>Table1[[#This Row],[Unit_Price]]*Table1[[#This Row],[Order_Quantity]]</f>
        <v>3360</v>
      </c>
      <c r="P53" s="6">
        <f>Table1[[#This Row],[Unit_Cost]]*Table1[[#This Row],[Order_Quantity]]</f>
        <v>2139</v>
      </c>
      <c r="Q53" s="4">
        <f>Table1[[#This Row],[total sales]]-Table1[[#This Row],[total cost]]</f>
        <v>1221</v>
      </c>
      <c r="R53" s="6" t="s">
        <v>138</v>
      </c>
      <c r="S53" s="6" t="str">
        <f>_xlfn.CONCAT(Table1[[#This Row],[Sub_Category]],"-",Table1[[#This Row],[bike colour]])</f>
        <v>Road Bikes-black</v>
      </c>
    </row>
    <row r="54" spans="1:19" x14ac:dyDescent="0.3">
      <c r="A54" s="1">
        <v>44477</v>
      </c>
      <c r="B54">
        <v>8</v>
      </c>
      <c r="C54" t="s">
        <v>13</v>
      </c>
      <c r="D54">
        <v>2021</v>
      </c>
      <c r="E54">
        <v>21</v>
      </c>
      <c r="F54" t="s">
        <v>49</v>
      </c>
      <c r="G54" t="s">
        <v>122</v>
      </c>
      <c r="H54" t="s">
        <v>15</v>
      </c>
      <c r="I54" t="s">
        <v>16</v>
      </c>
      <c r="J54" t="s">
        <v>17</v>
      </c>
      <c r="K54" t="s">
        <v>66</v>
      </c>
      <c r="L54">
        <v>1</v>
      </c>
      <c r="M54" s="6">
        <v>713</v>
      </c>
      <c r="N54" s="6">
        <v>1120</v>
      </c>
      <c r="O54" s="6">
        <f>Table1[[#This Row],[Unit_Price]]*Table1[[#This Row],[Order_Quantity]]</f>
        <v>1120</v>
      </c>
      <c r="P54" s="6">
        <f>Table1[[#This Row],[Unit_Cost]]*Table1[[#This Row],[Order_Quantity]]</f>
        <v>713</v>
      </c>
      <c r="Q54" s="4">
        <f>Table1[[#This Row],[total sales]]-Table1[[#This Row],[total cost]]</f>
        <v>407</v>
      </c>
      <c r="R54" s="6" t="s">
        <v>138</v>
      </c>
      <c r="S54" s="6" t="str">
        <f>_xlfn.CONCAT(Table1[[#This Row],[Sub_Category]],"-",Table1[[#This Row],[bike colour]])</f>
        <v>Road Bikes-black</v>
      </c>
    </row>
    <row r="55" spans="1:19" x14ac:dyDescent="0.3">
      <c r="A55" s="1">
        <v>44477</v>
      </c>
      <c r="B55">
        <v>8</v>
      </c>
      <c r="C55" t="s">
        <v>13</v>
      </c>
      <c r="D55">
        <v>2021</v>
      </c>
      <c r="E55">
        <v>28</v>
      </c>
      <c r="F55" t="s">
        <v>19</v>
      </c>
      <c r="G55" t="s">
        <v>120</v>
      </c>
      <c r="H55" t="s">
        <v>23</v>
      </c>
      <c r="I55" t="s">
        <v>24</v>
      </c>
      <c r="J55" t="s">
        <v>25</v>
      </c>
      <c r="K55" t="s">
        <v>61</v>
      </c>
      <c r="L55">
        <v>1</v>
      </c>
      <c r="M55" s="6">
        <v>713</v>
      </c>
      <c r="N55" s="6">
        <v>1120</v>
      </c>
      <c r="O55" s="6">
        <f>Table1[[#This Row],[Unit_Price]]*Table1[[#This Row],[Order_Quantity]]</f>
        <v>1120</v>
      </c>
      <c r="P55" s="6">
        <f>Table1[[#This Row],[Unit_Cost]]*Table1[[#This Row],[Order_Quantity]]</f>
        <v>713</v>
      </c>
      <c r="Q55" s="4">
        <f>Table1[[#This Row],[total sales]]-Table1[[#This Row],[total cost]]</f>
        <v>407</v>
      </c>
      <c r="R55" s="6" t="s">
        <v>138</v>
      </c>
      <c r="S55" s="6" t="str">
        <f>_xlfn.CONCAT(Table1[[#This Row],[Sub_Category]],"-",Table1[[#This Row],[bike colour]])</f>
        <v>Mountain Bikes-black</v>
      </c>
    </row>
    <row r="56" spans="1:19" x14ac:dyDescent="0.3">
      <c r="A56" s="1">
        <v>44478</v>
      </c>
      <c r="B56">
        <v>9</v>
      </c>
      <c r="C56" t="s">
        <v>13</v>
      </c>
      <c r="D56">
        <v>2021</v>
      </c>
      <c r="E56">
        <v>27</v>
      </c>
      <c r="F56" t="s">
        <v>19</v>
      </c>
      <c r="G56" t="s">
        <v>122</v>
      </c>
      <c r="H56" t="s">
        <v>50</v>
      </c>
      <c r="I56" t="s">
        <v>69</v>
      </c>
      <c r="J56" t="s">
        <v>17</v>
      </c>
      <c r="K56" t="s">
        <v>55</v>
      </c>
      <c r="L56">
        <v>3</v>
      </c>
      <c r="M56" s="6">
        <v>713</v>
      </c>
      <c r="N56" s="6">
        <v>1120</v>
      </c>
      <c r="O56" s="6">
        <f>Table1[[#This Row],[Unit_Price]]*Table1[[#This Row],[Order_Quantity]]</f>
        <v>3360</v>
      </c>
      <c r="P56" s="6">
        <f>Table1[[#This Row],[Unit_Cost]]*Table1[[#This Row],[Order_Quantity]]</f>
        <v>2139</v>
      </c>
      <c r="Q56" s="4">
        <f>Table1[[#This Row],[total sales]]-Table1[[#This Row],[total cost]]</f>
        <v>1221</v>
      </c>
      <c r="R56" s="6" t="s">
        <v>138</v>
      </c>
      <c r="S56" s="6" t="str">
        <f>_xlfn.CONCAT(Table1[[#This Row],[Sub_Category]],"-",Table1[[#This Row],[bike colour]])</f>
        <v>Road Bikes-black</v>
      </c>
    </row>
    <row r="57" spans="1:19" x14ac:dyDescent="0.3">
      <c r="A57" s="1">
        <v>44478</v>
      </c>
      <c r="B57">
        <v>9</v>
      </c>
      <c r="C57" t="s">
        <v>13</v>
      </c>
      <c r="D57">
        <v>2021</v>
      </c>
      <c r="E57">
        <v>43</v>
      </c>
      <c r="F57" t="s">
        <v>14</v>
      </c>
      <c r="G57" t="s">
        <v>122</v>
      </c>
      <c r="H57" t="s">
        <v>23</v>
      </c>
      <c r="I57" t="s">
        <v>24</v>
      </c>
      <c r="J57" t="s">
        <v>17</v>
      </c>
      <c r="K57" t="s">
        <v>44</v>
      </c>
      <c r="L57">
        <v>2</v>
      </c>
      <c r="M57" s="6">
        <v>713</v>
      </c>
      <c r="N57" s="6">
        <v>1120</v>
      </c>
      <c r="O57" s="6">
        <f>Table1[[#This Row],[Unit_Price]]*Table1[[#This Row],[Order_Quantity]]</f>
        <v>2240</v>
      </c>
      <c r="P57" s="6">
        <f>Table1[[#This Row],[Unit_Cost]]*Table1[[#This Row],[Order_Quantity]]</f>
        <v>1426</v>
      </c>
      <c r="Q57" s="4">
        <f>Table1[[#This Row],[total sales]]-Table1[[#This Row],[total cost]]</f>
        <v>814</v>
      </c>
      <c r="R57" s="6" t="s">
        <v>136</v>
      </c>
      <c r="S57" s="6" t="str">
        <f>_xlfn.CONCAT(Table1[[#This Row],[Sub_Category]],"-",Table1[[#This Row],[bike colour]])</f>
        <v>Road Bikes-yellow</v>
      </c>
    </row>
    <row r="58" spans="1:19" x14ac:dyDescent="0.3">
      <c r="A58" s="1">
        <v>44478</v>
      </c>
      <c r="B58">
        <v>9</v>
      </c>
      <c r="C58" t="s">
        <v>13</v>
      </c>
      <c r="D58">
        <v>2021</v>
      </c>
      <c r="E58">
        <v>46</v>
      </c>
      <c r="F58" t="s">
        <v>14</v>
      </c>
      <c r="G58" t="s">
        <v>122</v>
      </c>
      <c r="H58" t="s">
        <v>50</v>
      </c>
      <c r="I58" t="s">
        <v>70</v>
      </c>
      <c r="J58" t="s">
        <v>25</v>
      </c>
      <c r="K58" t="s">
        <v>62</v>
      </c>
      <c r="L58">
        <v>2</v>
      </c>
      <c r="M58" s="6">
        <v>713</v>
      </c>
      <c r="N58" s="6">
        <v>1120</v>
      </c>
      <c r="O58" s="6">
        <f>Table1[[#This Row],[Unit_Price]]*Table1[[#This Row],[Order_Quantity]]</f>
        <v>2240</v>
      </c>
      <c r="P58" s="6">
        <f>Table1[[#This Row],[Unit_Cost]]*Table1[[#This Row],[Order_Quantity]]</f>
        <v>1426</v>
      </c>
      <c r="Q58" s="4">
        <f>Table1[[#This Row],[total sales]]-Table1[[#This Row],[total cost]]</f>
        <v>814</v>
      </c>
      <c r="R58" s="6" t="s">
        <v>139</v>
      </c>
      <c r="S58" s="6" t="str">
        <f>_xlfn.CONCAT(Table1[[#This Row],[Sub_Category]],"-",Table1[[#This Row],[bike colour]])</f>
        <v>Mountain Bikes-silver</v>
      </c>
    </row>
    <row r="59" spans="1:19" x14ac:dyDescent="0.3">
      <c r="A59" s="1">
        <v>44479</v>
      </c>
      <c r="B59">
        <v>10</v>
      </c>
      <c r="C59" t="s">
        <v>13</v>
      </c>
      <c r="D59">
        <v>2021</v>
      </c>
      <c r="E59">
        <v>38</v>
      </c>
      <c r="F59" t="s">
        <v>14</v>
      </c>
      <c r="G59" t="s">
        <v>122</v>
      </c>
      <c r="H59" t="s">
        <v>23</v>
      </c>
      <c r="I59" t="s">
        <v>24</v>
      </c>
      <c r="J59" t="s">
        <v>17</v>
      </c>
      <c r="K59" t="s">
        <v>57</v>
      </c>
      <c r="L59">
        <v>3</v>
      </c>
      <c r="M59" s="6">
        <v>713</v>
      </c>
      <c r="N59" s="6">
        <v>1120</v>
      </c>
      <c r="O59" s="6">
        <f>Table1[[#This Row],[Unit_Price]]*Table1[[#This Row],[Order_Quantity]]</f>
        <v>3360</v>
      </c>
      <c r="P59" s="6">
        <f>Table1[[#This Row],[Unit_Cost]]*Table1[[#This Row],[Order_Quantity]]</f>
        <v>2139</v>
      </c>
      <c r="Q59" s="4">
        <f>Table1[[#This Row],[total sales]]-Table1[[#This Row],[total cost]]</f>
        <v>1221</v>
      </c>
      <c r="R59" s="6" t="s">
        <v>138</v>
      </c>
      <c r="S59" s="6" t="str">
        <f>_xlfn.CONCAT(Table1[[#This Row],[Sub_Category]],"-",Table1[[#This Row],[bike colour]])</f>
        <v>Road Bikes-black</v>
      </c>
    </row>
    <row r="60" spans="1:19" x14ac:dyDescent="0.3">
      <c r="A60" s="1">
        <v>44479</v>
      </c>
      <c r="B60">
        <v>10</v>
      </c>
      <c r="C60" t="s">
        <v>13</v>
      </c>
      <c r="D60">
        <v>2021</v>
      </c>
      <c r="E60">
        <v>36</v>
      </c>
      <c r="F60" t="s">
        <v>14</v>
      </c>
      <c r="G60" t="s">
        <v>120</v>
      </c>
      <c r="H60" t="s">
        <v>15</v>
      </c>
      <c r="I60" t="s">
        <v>16</v>
      </c>
      <c r="J60" t="s">
        <v>17</v>
      </c>
      <c r="K60" t="s">
        <v>32</v>
      </c>
      <c r="L60">
        <v>1</v>
      </c>
      <c r="M60" s="6">
        <v>713</v>
      </c>
      <c r="N60" s="6">
        <v>1120</v>
      </c>
      <c r="O60" s="6">
        <f>Table1[[#This Row],[Unit_Price]]*Table1[[#This Row],[Order_Quantity]]</f>
        <v>1120</v>
      </c>
      <c r="P60" s="6">
        <f>Table1[[#This Row],[Unit_Cost]]*Table1[[#This Row],[Order_Quantity]]</f>
        <v>713</v>
      </c>
      <c r="Q60" s="4">
        <f>Table1[[#This Row],[total sales]]-Table1[[#This Row],[total cost]]</f>
        <v>407</v>
      </c>
      <c r="R60" s="6" t="s">
        <v>137</v>
      </c>
      <c r="S60" s="6" t="str">
        <f>_xlfn.CONCAT(Table1[[#This Row],[Sub_Category]],"-",Table1[[#This Row],[bike colour]])</f>
        <v>Road Bikes-red</v>
      </c>
    </row>
    <row r="61" spans="1:19" x14ac:dyDescent="0.3">
      <c r="A61" s="1">
        <v>44479</v>
      </c>
      <c r="B61">
        <v>10</v>
      </c>
      <c r="C61" t="s">
        <v>13</v>
      </c>
      <c r="D61">
        <v>2021</v>
      </c>
      <c r="E61">
        <v>45</v>
      </c>
      <c r="F61" t="s">
        <v>14</v>
      </c>
      <c r="G61" t="s">
        <v>120</v>
      </c>
      <c r="H61" t="s">
        <v>27</v>
      </c>
      <c r="I61" t="s">
        <v>33</v>
      </c>
      <c r="J61" t="s">
        <v>17</v>
      </c>
      <c r="K61" t="s">
        <v>18</v>
      </c>
      <c r="L61">
        <v>1</v>
      </c>
      <c r="M61" s="6">
        <v>713</v>
      </c>
      <c r="N61" s="6">
        <v>1120</v>
      </c>
      <c r="O61" s="6">
        <f>Table1[[#This Row],[Unit_Price]]*Table1[[#This Row],[Order_Quantity]]</f>
        <v>1120</v>
      </c>
      <c r="P61" s="6">
        <f>Table1[[#This Row],[Unit_Cost]]*Table1[[#This Row],[Order_Quantity]]</f>
        <v>713</v>
      </c>
      <c r="Q61" s="4">
        <f>Table1[[#This Row],[total sales]]-Table1[[#This Row],[total cost]]</f>
        <v>407</v>
      </c>
      <c r="R61" s="6" t="s">
        <v>136</v>
      </c>
      <c r="S61" s="6" t="str">
        <f>_xlfn.CONCAT(Table1[[#This Row],[Sub_Category]],"-",Table1[[#This Row],[bike colour]])</f>
        <v>Road Bikes-yellow</v>
      </c>
    </row>
    <row r="62" spans="1:19" x14ac:dyDescent="0.3">
      <c r="A62" s="1">
        <v>44479</v>
      </c>
      <c r="B62">
        <v>10</v>
      </c>
      <c r="C62" t="s">
        <v>13</v>
      </c>
      <c r="D62">
        <v>2021</v>
      </c>
      <c r="E62">
        <v>47</v>
      </c>
      <c r="F62" t="s">
        <v>14</v>
      </c>
      <c r="G62" t="s">
        <v>120</v>
      </c>
      <c r="H62" t="s">
        <v>27</v>
      </c>
      <c r="I62" t="s">
        <v>33</v>
      </c>
      <c r="J62" t="s">
        <v>25</v>
      </c>
      <c r="K62" t="s">
        <v>71</v>
      </c>
      <c r="L62">
        <v>1</v>
      </c>
      <c r="M62" s="6">
        <v>713</v>
      </c>
      <c r="N62" s="6">
        <v>1120</v>
      </c>
      <c r="O62" s="6">
        <f>Table1[[#This Row],[Unit_Price]]*Table1[[#This Row],[Order_Quantity]]</f>
        <v>1120</v>
      </c>
      <c r="P62" s="6">
        <f>Table1[[#This Row],[Unit_Cost]]*Table1[[#This Row],[Order_Quantity]]</f>
        <v>713</v>
      </c>
      <c r="Q62" s="4">
        <f>Table1[[#This Row],[total sales]]-Table1[[#This Row],[total cost]]</f>
        <v>407</v>
      </c>
      <c r="R62" s="6" t="s">
        <v>139</v>
      </c>
      <c r="S62" s="6" t="str">
        <f>_xlfn.CONCAT(Table1[[#This Row],[Sub_Category]],"-",Table1[[#This Row],[bike colour]])</f>
        <v>Mountain Bikes-silver</v>
      </c>
    </row>
    <row r="63" spans="1:19" x14ac:dyDescent="0.3">
      <c r="A63" s="1">
        <v>44480</v>
      </c>
      <c r="B63">
        <v>11</v>
      </c>
      <c r="C63" t="s">
        <v>13</v>
      </c>
      <c r="D63">
        <v>2021</v>
      </c>
      <c r="E63">
        <v>37</v>
      </c>
      <c r="F63" t="s">
        <v>14</v>
      </c>
      <c r="G63" t="s">
        <v>120</v>
      </c>
      <c r="H63" t="s">
        <v>27</v>
      </c>
      <c r="I63" t="s">
        <v>30</v>
      </c>
      <c r="J63" t="s">
        <v>17</v>
      </c>
      <c r="K63" t="s">
        <v>29</v>
      </c>
      <c r="L63">
        <v>4</v>
      </c>
      <c r="M63" s="6">
        <v>713</v>
      </c>
      <c r="N63" s="6">
        <v>1120</v>
      </c>
      <c r="O63" s="6">
        <f>Table1[[#This Row],[Unit_Price]]*Table1[[#This Row],[Order_Quantity]]</f>
        <v>4480</v>
      </c>
      <c r="P63" s="6">
        <f>Table1[[#This Row],[Unit_Cost]]*Table1[[#This Row],[Order_Quantity]]</f>
        <v>2852</v>
      </c>
      <c r="Q63" s="4">
        <f>Table1[[#This Row],[total sales]]-Table1[[#This Row],[total cost]]</f>
        <v>1628</v>
      </c>
      <c r="R63" s="6" t="s">
        <v>136</v>
      </c>
      <c r="S63" s="6" t="str">
        <f>_xlfn.CONCAT(Table1[[#This Row],[Sub_Category]],"-",Table1[[#This Row],[bike colour]])</f>
        <v>Road Bikes-yellow</v>
      </c>
    </row>
    <row r="64" spans="1:19" x14ac:dyDescent="0.3">
      <c r="A64" s="1">
        <v>44480</v>
      </c>
      <c r="B64">
        <v>11</v>
      </c>
      <c r="C64" t="s">
        <v>13</v>
      </c>
      <c r="D64">
        <v>2021</v>
      </c>
      <c r="E64">
        <v>44</v>
      </c>
      <c r="F64" t="s">
        <v>14</v>
      </c>
      <c r="G64" t="s">
        <v>120</v>
      </c>
      <c r="H64" t="s">
        <v>20</v>
      </c>
      <c r="I64" t="s">
        <v>21</v>
      </c>
      <c r="J64" t="s">
        <v>25</v>
      </c>
      <c r="K64" t="s">
        <v>72</v>
      </c>
      <c r="L64">
        <v>4</v>
      </c>
      <c r="M64" s="6">
        <v>713</v>
      </c>
      <c r="N64" s="6">
        <v>1120</v>
      </c>
      <c r="O64" s="6">
        <f>Table1[[#This Row],[Unit_Price]]*Table1[[#This Row],[Order_Quantity]]</f>
        <v>4480</v>
      </c>
      <c r="P64" s="6">
        <f>Table1[[#This Row],[Unit_Cost]]*Table1[[#This Row],[Order_Quantity]]</f>
        <v>2852</v>
      </c>
      <c r="Q64" s="4">
        <f>Table1[[#This Row],[total sales]]-Table1[[#This Row],[total cost]]</f>
        <v>1628</v>
      </c>
      <c r="R64" s="6" t="s">
        <v>138</v>
      </c>
      <c r="S64" s="6" t="str">
        <f>_xlfn.CONCAT(Table1[[#This Row],[Sub_Category]],"-",Table1[[#This Row],[bike colour]])</f>
        <v>Mountain Bikes-black</v>
      </c>
    </row>
    <row r="65" spans="1:19" x14ac:dyDescent="0.3">
      <c r="A65" s="1">
        <v>44480</v>
      </c>
      <c r="B65">
        <v>11</v>
      </c>
      <c r="C65" t="s">
        <v>13</v>
      </c>
      <c r="D65">
        <v>2021</v>
      </c>
      <c r="E65">
        <v>37</v>
      </c>
      <c r="F65" t="s">
        <v>14</v>
      </c>
      <c r="G65" t="s">
        <v>120</v>
      </c>
      <c r="H65" t="s">
        <v>27</v>
      </c>
      <c r="I65" t="s">
        <v>33</v>
      </c>
      <c r="J65" t="s">
        <v>17</v>
      </c>
      <c r="K65" t="s">
        <v>65</v>
      </c>
      <c r="L65">
        <v>3</v>
      </c>
      <c r="M65" s="6">
        <v>713</v>
      </c>
      <c r="N65" s="6">
        <v>1120</v>
      </c>
      <c r="O65" s="6">
        <f>Table1[[#This Row],[Unit_Price]]*Table1[[#This Row],[Order_Quantity]]</f>
        <v>3360</v>
      </c>
      <c r="P65" s="6">
        <f>Table1[[#This Row],[Unit_Cost]]*Table1[[#This Row],[Order_Quantity]]</f>
        <v>2139</v>
      </c>
      <c r="Q65" s="4">
        <f>Table1[[#This Row],[total sales]]-Table1[[#This Row],[total cost]]</f>
        <v>1221</v>
      </c>
      <c r="R65" s="6" t="s">
        <v>136</v>
      </c>
      <c r="S65" s="6" t="str">
        <f>_xlfn.CONCAT(Table1[[#This Row],[Sub_Category]],"-",Table1[[#This Row],[bike colour]])</f>
        <v>Road Bikes-yellow</v>
      </c>
    </row>
    <row r="66" spans="1:19" x14ac:dyDescent="0.3">
      <c r="A66" s="1">
        <v>44480</v>
      </c>
      <c r="B66">
        <v>11</v>
      </c>
      <c r="C66" t="s">
        <v>13</v>
      </c>
      <c r="D66">
        <v>2021</v>
      </c>
      <c r="E66">
        <v>26</v>
      </c>
      <c r="F66" t="s">
        <v>19</v>
      </c>
      <c r="G66" t="s">
        <v>120</v>
      </c>
      <c r="H66" t="s">
        <v>50</v>
      </c>
      <c r="I66" t="s">
        <v>70</v>
      </c>
      <c r="J66" t="s">
        <v>17</v>
      </c>
      <c r="K66" t="s">
        <v>73</v>
      </c>
      <c r="L66">
        <v>1</v>
      </c>
      <c r="M66" s="6">
        <v>713</v>
      </c>
      <c r="N66" s="6">
        <v>1120</v>
      </c>
      <c r="O66" s="6">
        <f>Table1[[#This Row],[Unit_Price]]*Table1[[#This Row],[Order_Quantity]]</f>
        <v>1120</v>
      </c>
      <c r="P66" s="6">
        <f>Table1[[#This Row],[Unit_Cost]]*Table1[[#This Row],[Order_Quantity]]</f>
        <v>713</v>
      </c>
      <c r="Q66" s="4">
        <f>Table1[[#This Row],[total sales]]-Table1[[#This Row],[total cost]]</f>
        <v>407</v>
      </c>
      <c r="R66" s="6" t="s">
        <v>138</v>
      </c>
      <c r="S66" s="6" t="str">
        <f>_xlfn.CONCAT(Table1[[#This Row],[Sub_Category]],"-",Table1[[#This Row],[bike colour]])</f>
        <v>Road Bikes-black</v>
      </c>
    </row>
    <row r="67" spans="1:19" x14ac:dyDescent="0.3">
      <c r="A67" s="1">
        <v>44480</v>
      </c>
      <c r="B67">
        <v>11</v>
      </c>
      <c r="C67" t="s">
        <v>13</v>
      </c>
      <c r="D67">
        <v>2021</v>
      </c>
      <c r="E67">
        <v>26</v>
      </c>
      <c r="F67" t="s">
        <v>19</v>
      </c>
      <c r="G67" t="s">
        <v>122</v>
      </c>
      <c r="H67" t="s">
        <v>42</v>
      </c>
      <c r="I67" t="s">
        <v>74</v>
      </c>
      <c r="J67" t="s">
        <v>17</v>
      </c>
      <c r="K67" t="s">
        <v>75</v>
      </c>
      <c r="L67">
        <v>1</v>
      </c>
      <c r="M67" s="6">
        <v>713</v>
      </c>
      <c r="N67" s="6">
        <v>1120</v>
      </c>
      <c r="O67" s="6">
        <f>Table1[[#This Row],[Unit_Price]]*Table1[[#This Row],[Order_Quantity]]</f>
        <v>1120</v>
      </c>
      <c r="P67" s="6">
        <f>Table1[[#This Row],[Unit_Cost]]*Table1[[#This Row],[Order_Quantity]]</f>
        <v>713</v>
      </c>
      <c r="Q67" s="4">
        <f>Table1[[#This Row],[total sales]]-Table1[[#This Row],[total cost]]</f>
        <v>407</v>
      </c>
      <c r="R67" s="6" t="s">
        <v>137</v>
      </c>
      <c r="S67" s="6" t="str">
        <f>_xlfn.CONCAT(Table1[[#This Row],[Sub_Category]],"-",Table1[[#This Row],[bike colour]])</f>
        <v>Road Bikes-red</v>
      </c>
    </row>
    <row r="68" spans="1:19" x14ac:dyDescent="0.3">
      <c r="A68" s="1">
        <v>44480</v>
      </c>
      <c r="B68">
        <v>11</v>
      </c>
      <c r="C68" t="s">
        <v>13</v>
      </c>
      <c r="D68">
        <v>2021</v>
      </c>
      <c r="E68">
        <v>28</v>
      </c>
      <c r="F68" t="s">
        <v>19</v>
      </c>
      <c r="G68" t="s">
        <v>122</v>
      </c>
      <c r="H68" t="s">
        <v>27</v>
      </c>
      <c r="I68" t="s">
        <v>76</v>
      </c>
      <c r="J68" t="s">
        <v>25</v>
      </c>
      <c r="K68" t="s">
        <v>34</v>
      </c>
      <c r="L68">
        <v>1</v>
      </c>
      <c r="M68" s="6">
        <v>713</v>
      </c>
      <c r="N68" s="6">
        <v>1120</v>
      </c>
      <c r="O68" s="6">
        <f>Table1[[#This Row],[Unit_Price]]*Table1[[#This Row],[Order_Quantity]]</f>
        <v>1120</v>
      </c>
      <c r="P68" s="6">
        <f>Table1[[#This Row],[Unit_Cost]]*Table1[[#This Row],[Order_Quantity]]</f>
        <v>713</v>
      </c>
      <c r="Q68" s="4">
        <f>Table1[[#This Row],[total sales]]-Table1[[#This Row],[total cost]]</f>
        <v>407</v>
      </c>
      <c r="R68" s="6" t="s">
        <v>138</v>
      </c>
      <c r="S68" s="6" t="str">
        <f>_xlfn.CONCAT(Table1[[#This Row],[Sub_Category]],"-",Table1[[#This Row],[bike colour]])</f>
        <v>Mountain Bikes-black</v>
      </c>
    </row>
    <row r="69" spans="1:19" x14ac:dyDescent="0.3">
      <c r="A69" s="1">
        <v>44480</v>
      </c>
      <c r="B69">
        <v>11</v>
      </c>
      <c r="C69" t="s">
        <v>13</v>
      </c>
      <c r="D69">
        <v>2021</v>
      </c>
      <c r="E69">
        <v>35</v>
      </c>
      <c r="F69" t="s">
        <v>14</v>
      </c>
      <c r="G69" t="s">
        <v>122</v>
      </c>
      <c r="H69" t="s">
        <v>27</v>
      </c>
      <c r="I69" t="s">
        <v>76</v>
      </c>
      <c r="J69" t="s">
        <v>17</v>
      </c>
      <c r="K69" t="s">
        <v>64</v>
      </c>
      <c r="L69">
        <v>1</v>
      </c>
      <c r="M69" s="6">
        <v>713</v>
      </c>
      <c r="N69" s="6">
        <v>1120</v>
      </c>
      <c r="O69" s="6">
        <f>Table1[[#This Row],[Unit_Price]]*Table1[[#This Row],[Order_Quantity]]</f>
        <v>1120</v>
      </c>
      <c r="P69" s="6">
        <f>Table1[[#This Row],[Unit_Cost]]*Table1[[#This Row],[Order_Quantity]]</f>
        <v>713</v>
      </c>
      <c r="Q69" s="4">
        <f>Table1[[#This Row],[total sales]]-Table1[[#This Row],[total cost]]</f>
        <v>407</v>
      </c>
      <c r="R69" s="6" t="s">
        <v>136</v>
      </c>
      <c r="S69" s="6" t="str">
        <f>_xlfn.CONCAT(Table1[[#This Row],[Sub_Category]],"-",Table1[[#This Row],[bike colour]])</f>
        <v>Road Bikes-yellow</v>
      </c>
    </row>
    <row r="70" spans="1:19" x14ac:dyDescent="0.3">
      <c r="A70" s="1">
        <v>44481</v>
      </c>
      <c r="B70">
        <v>12</v>
      </c>
      <c r="C70" t="s">
        <v>13</v>
      </c>
      <c r="D70">
        <v>2021</v>
      </c>
      <c r="E70">
        <v>37</v>
      </c>
      <c r="F70" t="s">
        <v>14</v>
      </c>
      <c r="G70" t="s">
        <v>122</v>
      </c>
      <c r="H70" t="s">
        <v>27</v>
      </c>
      <c r="I70" t="s">
        <v>45</v>
      </c>
      <c r="J70" t="s">
        <v>17</v>
      </c>
      <c r="K70" t="s">
        <v>44</v>
      </c>
      <c r="L70">
        <v>4</v>
      </c>
      <c r="M70" s="6">
        <v>713</v>
      </c>
      <c r="N70" s="6">
        <v>1120</v>
      </c>
      <c r="O70" s="6">
        <f>Table1[[#This Row],[Unit_Price]]*Table1[[#This Row],[Order_Quantity]]</f>
        <v>4480</v>
      </c>
      <c r="P70" s="6">
        <f>Table1[[#This Row],[Unit_Cost]]*Table1[[#This Row],[Order_Quantity]]</f>
        <v>2852</v>
      </c>
      <c r="Q70" s="4">
        <f>Table1[[#This Row],[total sales]]-Table1[[#This Row],[total cost]]</f>
        <v>1628</v>
      </c>
      <c r="R70" s="6" t="s">
        <v>136</v>
      </c>
      <c r="S70" s="6" t="str">
        <f>_xlfn.CONCAT(Table1[[#This Row],[Sub_Category]],"-",Table1[[#This Row],[bike colour]])</f>
        <v>Road Bikes-yellow</v>
      </c>
    </row>
    <row r="71" spans="1:19" x14ac:dyDescent="0.3">
      <c r="A71" s="1">
        <v>44481</v>
      </c>
      <c r="B71">
        <v>12</v>
      </c>
      <c r="C71" t="s">
        <v>13</v>
      </c>
      <c r="D71">
        <v>2021</v>
      </c>
      <c r="E71">
        <v>41</v>
      </c>
      <c r="F71" t="s">
        <v>14</v>
      </c>
      <c r="G71" t="s">
        <v>122</v>
      </c>
      <c r="H71" t="s">
        <v>27</v>
      </c>
      <c r="I71" t="s">
        <v>33</v>
      </c>
      <c r="J71" t="s">
        <v>17</v>
      </c>
      <c r="K71" t="s">
        <v>41</v>
      </c>
      <c r="L71">
        <v>4</v>
      </c>
      <c r="M71" s="6">
        <v>713</v>
      </c>
      <c r="N71" s="6">
        <v>1120</v>
      </c>
      <c r="O71" s="6">
        <f>Table1[[#This Row],[Unit_Price]]*Table1[[#This Row],[Order_Quantity]]</f>
        <v>4480</v>
      </c>
      <c r="P71" s="6">
        <f>Table1[[#This Row],[Unit_Cost]]*Table1[[#This Row],[Order_Quantity]]</f>
        <v>2852</v>
      </c>
      <c r="Q71" s="4">
        <f>Table1[[#This Row],[total sales]]-Table1[[#This Row],[total cost]]</f>
        <v>1628</v>
      </c>
      <c r="R71" s="6" t="s">
        <v>138</v>
      </c>
      <c r="S71" s="6" t="str">
        <f>_xlfn.CONCAT(Table1[[#This Row],[Sub_Category]],"-",Table1[[#This Row],[bike colour]])</f>
        <v>Road Bikes-black</v>
      </c>
    </row>
    <row r="72" spans="1:19" x14ac:dyDescent="0.3">
      <c r="A72" s="1">
        <v>44481</v>
      </c>
      <c r="B72">
        <v>12</v>
      </c>
      <c r="C72" t="s">
        <v>13</v>
      </c>
      <c r="D72">
        <v>2021</v>
      </c>
      <c r="E72">
        <v>37</v>
      </c>
      <c r="F72" t="s">
        <v>14</v>
      </c>
      <c r="G72" t="s">
        <v>122</v>
      </c>
      <c r="H72" t="s">
        <v>23</v>
      </c>
      <c r="I72" t="s">
        <v>24</v>
      </c>
      <c r="J72" t="s">
        <v>25</v>
      </c>
      <c r="K72" t="s">
        <v>77</v>
      </c>
      <c r="L72">
        <v>3</v>
      </c>
      <c r="M72" s="6">
        <v>713</v>
      </c>
      <c r="N72" s="6">
        <v>1120</v>
      </c>
      <c r="O72" s="6">
        <f>Table1[[#This Row],[Unit_Price]]*Table1[[#This Row],[Order_Quantity]]</f>
        <v>3360</v>
      </c>
      <c r="P72" s="6">
        <f>Table1[[#This Row],[Unit_Cost]]*Table1[[#This Row],[Order_Quantity]]</f>
        <v>2139</v>
      </c>
      <c r="Q72" s="4">
        <f>Table1[[#This Row],[total sales]]-Table1[[#This Row],[total cost]]</f>
        <v>1221</v>
      </c>
      <c r="R72" s="6" t="s">
        <v>139</v>
      </c>
      <c r="S72" s="6" t="str">
        <f>_xlfn.CONCAT(Table1[[#This Row],[Sub_Category]],"-",Table1[[#This Row],[bike colour]])</f>
        <v>Mountain Bikes-silver</v>
      </c>
    </row>
    <row r="73" spans="1:19" x14ac:dyDescent="0.3">
      <c r="A73" s="1">
        <v>44481</v>
      </c>
      <c r="B73">
        <v>12</v>
      </c>
      <c r="C73" t="s">
        <v>13</v>
      </c>
      <c r="D73">
        <v>2021</v>
      </c>
      <c r="E73">
        <v>27</v>
      </c>
      <c r="F73" t="s">
        <v>19</v>
      </c>
      <c r="G73" t="s">
        <v>122</v>
      </c>
      <c r="H73" t="s">
        <v>23</v>
      </c>
      <c r="I73" t="s">
        <v>24</v>
      </c>
      <c r="J73" t="s">
        <v>17</v>
      </c>
      <c r="K73" t="s">
        <v>41</v>
      </c>
      <c r="L73">
        <v>2</v>
      </c>
      <c r="M73" s="6">
        <v>713</v>
      </c>
      <c r="N73" s="6">
        <v>1120</v>
      </c>
      <c r="O73" s="6">
        <f>Table1[[#This Row],[Unit_Price]]*Table1[[#This Row],[Order_Quantity]]</f>
        <v>2240</v>
      </c>
      <c r="P73" s="6">
        <f>Table1[[#This Row],[Unit_Cost]]*Table1[[#This Row],[Order_Quantity]]</f>
        <v>1426</v>
      </c>
      <c r="Q73" s="4">
        <f>Table1[[#This Row],[total sales]]-Table1[[#This Row],[total cost]]</f>
        <v>814</v>
      </c>
      <c r="R73" s="6" t="s">
        <v>138</v>
      </c>
      <c r="S73" s="6" t="str">
        <f>_xlfn.CONCAT(Table1[[#This Row],[Sub_Category]],"-",Table1[[#This Row],[bike colour]])</f>
        <v>Road Bikes-black</v>
      </c>
    </row>
    <row r="74" spans="1:19" x14ac:dyDescent="0.3">
      <c r="A74" s="1">
        <v>44481</v>
      </c>
      <c r="B74">
        <v>12</v>
      </c>
      <c r="C74" t="s">
        <v>13</v>
      </c>
      <c r="D74">
        <v>2021</v>
      </c>
      <c r="E74">
        <v>41</v>
      </c>
      <c r="F74" t="s">
        <v>14</v>
      </c>
      <c r="G74" t="s">
        <v>122</v>
      </c>
      <c r="H74" t="s">
        <v>42</v>
      </c>
      <c r="I74" t="s">
        <v>74</v>
      </c>
      <c r="J74" t="s">
        <v>17</v>
      </c>
      <c r="K74" t="s">
        <v>78</v>
      </c>
      <c r="L74">
        <v>2</v>
      </c>
      <c r="M74" s="6">
        <v>713</v>
      </c>
      <c r="N74" s="6">
        <v>1120</v>
      </c>
      <c r="O74" s="6">
        <f>Table1[[#This Row],[Unit_Price]]*Table1[[#This Row],[Order_Quantity]]</f>
        <v>2240</v>
      </c>
      <c r="P74" s="6">
        <f>Table1[[#This Row],[Unit_Cost]]*Table1[[#This Row],[Order_Quantity]]</f>
        <v>1426</v>
      </c>
      <c r="Q74" s="4">
        <f>Table1[[#This Row],[total sales]]-Table1[[#This Row],[total cost]]</f>
        <v>814</v>
      </c>
      <c r="R74" s="6" t="s">
        <v>138</v>
      </c>
      <c r="S74" s="6" t="str">
        <f>_xlfn.CONCAT(Table1[[#This Row],[Sub_Category]],"-",Table1[[#This Row],[bike colour]])</f>
        <v>Road Bikes-black</v>
      </c>
    </row>
    <row r="75" spans="1:19" x14ac:dyDescent="0.3">
      <c r="A75" s="1">
        <v>44481</v>
      </c>
      <c r="B75">
        <v>12</v>
      </c>
      <c r="C75" t="s">
        <v>13</v>
      </c>
      <c r="D75">
        <v>2021</v>
      </c>
      <c r="E75">
        <v>26</v>
      </c>
      <c r="F75" t="s">
        <v>19</v>
      </c>
      <c r="G75" t="s">
        <v>120</v>
      </c>
      <c r="H75" t="s">
        <v>27</v>
      </c>
      <c r="I75" t="s">
        <v>33</v>
      </c>
      <c r="J75" t="s">
        <v>17</v>
      </c>
      <c r="K75" t="s">
        <v>46</v>
      </c>
      <c r="L75">
        <v>1</v>
      </c>
      <c r="M75" s="6">
        <v>713</v>
      </c>
      <c r="N75" s="6">
        <v>1120</v>
      </c>
      <c r="O75" s="6">
        <f>Table1[[#This Row],[Unit_Price]]*Table1[[#This Row],[Order_Quantity]]</f>
        <v>1120</v>
      </c>
      <c r="P75" s="6">
        <f>Table1[[#This Row],[Unit_Cost]]*Table1[[#This Row],[Order_Quantity]]</f>
        <v>713</v>
      </c>
      <c r="Q75" s="4">
        <f>Table1[[#This Row],[total sales]]-Table1[[#This Row],[total cost]]</f>
        <v>407</v>
      </c>
      <c r="R75" s="6" t="s">
        <v>137</v>
      </c>
      <c r="S75" s="6" t="str">
        <f>_xlfn.CONCAT(Table1[[#This Row],[Sub_Category]],"-",Table1[[#This Row],[bike colour]])</f>
        <v>Road Bikes-red</v>
      </c>
    </row>
    <row r="76" spans="1:19" x14ac:dyDescent="0.3">
      <c r="A76" s="1">
        <v>44481</v>
      </c>
      <c r="B76">
        <v>12</v>
      </c>
      <c r="C76" t="s">
        <v>13</v>
      </c>
      <c r="D76">
        <v>2021</v>
      </c>
      <c r="E76">
        <v>32</v>
      </c>
      <c r="F76" t="s">
        <v>19</v>
      </c>
      <c r="G76" t="s">
        <v>120</v>
      </c>
      <c r="H76" t="s">
        <v>50</v>
      </c>
      <c r="I76" t="s">
        <v>53</v>
      </c>
      <c r="J76" t="s">
        <v>17</v>
      </c>
      <c r="K76" t="s">
        <v>79</v>
      </c>
      <c r="L76">
        <v>1</v>
      </c>
      <c r="M76" s="6">
        <v>713</v>
      </c>
      <c r="N76" s="6">
        <v>1120</v>
      </c>
      <c r="O76" s="6">
        <f>Table1[[#This Row],[Unit_Price]]*Table1[[#This Row],[Order_Quantity]]</f>
        <v>1120</v>
      </c>
      <c r="P76" s="6">
        <f>Table1[[#This Row],[Unit_Cost]]*Table1[[#This Row],[Order_Quantity]]</f>
        <v>713</v>
      </c>
      <c r="Q76" s="4">
        <f>Table1[[#This Row],[total sales]]-Table1[[#This Row],[total cost]]</f>
        <v>407</v>
      </c>
      <c r="R76" s="6" t="s">
        <v>137</v>
      </c>
      <c r="S76" s="6" t="str">
        <f>_xlfn.CONCAT(Table1[[#This Row],[Sub_Category]],"-",Table1[[#This Row],[bike colour]])</f>
        <v>Road Bikes-red</v>
      </c>
    </row>
    <row r="77" spans="1:19" x14ac:dyDescent="0.3">
      <c r="A77" s="1">
        <v>44481</v>
      </c>
      <c r="B77">
        <v>12</v>
      </c>
      <c r="C77" t="s">
        <v>13</v>
      </c>
      <c r="D77">
        <v>2021</v>
      </c>
      <c r="E77">
        <v>39</v>
      </c>
      <c r="F77" t="s">
        <v>14</v>
      </c>
      <c r="G77" t="s">
        <v>120</v>
      </c>
      <c r="H77" t="s">
        <v>27</v>
      </c>
      <c r="I77" t="s">
        <v>28</v>
      </c>
      <c r="J77" t="s">
        <v>17</v>
      </c>
      <c r="K77" t="s">
        <v>64</v>
      </c>
      <c r="L77">
        <v>1</v>
      </c>
      <c r="M77" s="6">
        <v>713</v>
      </c>
      <c r="N77" s="6">
        <v>1120</v>
      </c>
      <c r="O77" s="6">
        <f>Table1[[#This Row],[Unit_Price]]*Table1[[#This Row],[Order_Quantity]]</f>
        <v>1120</v>
      </c>
      <c r="P77" s="6">
        <f>Table1[[#This Row],[Unit_Cost]]*Table1[[#This Row],[Order_Quantity]]</f>
        <v>713</v>
      </c>
      <c r="Q77" s="4">
        <f>Table1[[#This Row],[total sales]]-Table1[[#This Row],[total cost]]</f>
        <v>407</v>
      </c>
      <c r="R77" s="6" t="s">
        <v>136</v>
      </c>
      <c r="S77" s="6" t="str">
        <f>_xlfn.CONCAT(Table1[[#This Row],[Sub_Category]],"-",Table1[[#This Row],[bike colour]])</f>
        <v>Road Bikes-yellow</v>
      </c>
    </row>
    <row r="78" spans="1:19" x14ac:dyDescent="0.3">
      <c r="A78" s="1">
        <v>44481</v>
      </c>
      <c r="B78">
        <v>12</v>
      </c>
      <c r="C78" t="s">
        <v>13</v>
      </c>
      <c r="D78">
        <v>2021</v>
      </c>
      <c r="E78">
        <v>44</v>
      </c>
      <c r="F78" t="s">
        <v>14</v>
      </c>
      <c r="G78" t="s">
        <v>120</v>
      </c>
      <c r="H78" t="s">
        <v>27</v>
      </c>
      <c r="I78" t="s">
        <v>33</v>
      </c>
      <c r="J78" t="s">
        <v>17</v>
      </c>
      <c r="K78" t="s">
        <v>80</v>
      </c>
      <c r="L78">
        <v>1</v>
      </c>
      <c r="M78" s="6">
        <v>713</v>
      </c>
      <c r="N78" s="6">
        <v>1120</v>
      </c>
      <c r="O78" s="6">
        <f>Table1[[#This Row],[Unit_Price]]*Table1[[#This Row],[Order_Quantity]]</f>
        <v>1120</v>
      </c>
      <c r="P78" s="6">
        <f>Table1[[#This Row],[Unit_Cost]]*Table1[[#This Row],[Order_Quantity]]</f>
        <v>713</v>
      </c>
      <c r="Q78" s="4">
        <f>Table1[[#This Row],[total sales]]-Table1[[#This Row],[total cost]]</f>
        <v>407</v>
      </c>
      <c r="R78" s="6" t="s">
        <v>138</v>
      </c>
      <c r="S78" s="6" t="str">
        <f>_xlfn.CONCAT(Table1[[#This Row],[Sub_Category]],"-",Table1[[#This Row],[bike colour]])</f>
        <v>Road Bikes-black</v>
      </c>
    </row>
    <row r="79" spans="1:19" x14ac:dyDescent="0.3">
      <c r="A79" s="1">
        <v>44481</v>
      </c>
      <c r="B79">
        <v>12</v>
      </c>
      <c r="C79" t="s">
        <v>13</v>
      </c>
      <c r="D79">
        <v>2021</v>
      </c>
      <c r="E79">
        <v>45</v>
      </c>
      <c r="F79" t="s">
        <v>14</v>
      </c>
      <c r="G79" t="s">
        <v>122</v>
      </c>
      <c r="H79" t="s">
        <v>15</v>
      </c>
      <c r="I79" t="s">
        <v>47</v>
      </c>
      <c r="J79" t="s">
        <v>17</v>
      </c>
      <c r="K79" t="s">
        <v>35</v>
      </c>
      <c r="L79">
        <v>1</v>
      </c>
      <c r="M79" s="6">
        <v>713</v>
      </c>
      <c r="N79" s="6">
        <v>1120</v>
      </c>
      <c r="O79" s="6">
        <f>Table1[[#This Row],[Unit_Price]]*Table1[[#This Row],[Order_Quantity]]</f>
        <v>1120</v>
      </c>
      <c r="P79" s="6">
        <f>Table1[[#This Row],[Unit_Cost]]*Table1[[#This Row],[Order_Quantity]]</f>
        <v>713</v>
      </c>
      <c r="Q79" s="4">
        <f>Table1[[#This Row],[total sales]]-Table1[[#This Row],[total cost]]</f>
        <v>407</v>
      </c>
      <c r="R79" s="6" t="s">
        <v>137</v>
      </c>
      <c r="S79" s="6" t="str">
        <f>_xlfn.CONCAT(Table1[[#This Row],[Sub_Category]],"-",Table1[[#This Row],[bike colour]])</f>
        <v>Road Bikes-red</v>
      </c>
    </row>
    <row r="80" spans="1:19" x14ac:dyDescent="0.3">
      <c r="A80" s="1">
        <v>44481</v>
      </c>
      <c r="B80">
        <v>12</v>
      </c>
      <c r="C80" t="s">
        <v>13</v>
      </c>
      <c r="D80">
        <v>2021</v>
      </c>
      <c r="E80">
        <v>53</v>
      </c>
      <c r="F80" t="s">
        <v>14</v>
      </c>
      <c r="G80" t="s">
        <v>120</v>
      </c>
      <c r="H80" t="s">
        <v>23</v>
      </c>
      <c r="I80" t="s">
        <v>24</v>
      </c>
      <c r="J80" t="s">
        <v>17</v>
      </c>
      <c r="K80" t="s">
        <v>57</v>
      </c>
      <c r="L80">
        <v>1</v>
      </c>
      <c r="M80" s="6">
        <v>713</v>
      </c>
      <c r="N80" s="6">
        <v>1120</v>
      </c>
      <c r="O80" s="6">
        <f>Table1[[#This Row],[Unit_Price]]*Table1[[#This Row],[Order_Quantity]]</f>
        <v>1120</v>
      </c>
      <c r="P80" s="6">
        <f>Table1[[#This Row],[Unit_Cost]]*Table1[[#This Row],[Order_Quantity]]</f>
        <v>713</v>
      </c>
      <c r="Q80" s="4">
        <f>Table1[[#This Row],[total sales]]-Table1[[#This Row],[total cost]]</f>
        <v>407</v>
      </c>
      <c r="R80" s="6" t="s">
        <v>138</v>
      </c>
      <c r="S80" s="6" t="str">
        <f>_xlfn.CONCAT(Table1[[#This Row],[Sub_Category]],"-",Table1[[#This Row],[bike colour]])</f>
        <v>Road Bikes-black</v>
      </c>
    </row>
    <row r="81" spans="1:19" x14ac:dyDescent="0.3">
      <c r="A81" s="1">
        <v>44481</v>
      </c>
      <c r="B81">
        <v>12</v>
      </c>
      <c r="C81" t="s">
        <v>13</v>
      </c>
      <c r="D81">
        <v>2021</v>
      </c>
      <c r="E81">
        <v>57</v>
      </c>
      <c r="F81" t="s">
        <v>14</v>
      </c>
      <c r="G81" t="s">
        <v>122</v>
      </c>
      <c r="H81" t="s">
        <v>27</v>
      </c>
      <c r="I81" t="s">
        <v>28</v>
      </c>
      <c r="J81" t="s">
        <v>17</v>
      </c>
      <c r="K81" t="s">
        <v>81</v>
      </c>
      <c r="L81">
        <v>1</v>
      </c>
      <c r="M81" s="6">
        <v>713</v>
      </c>
      <c r="N81" s="6">
        <v>1120</v>
      </c>
      <c r="O81" s="6">
        <f>Table1[[#This Row],[Unit_Price]]*Table1[[#This Row],[Order_Quantity]]</f>
        <v>1120</v>
      </c>
      <c r="P81" s="6">
        <f>Table1[[#This Row],[Unit_Cost]]*Table1[[#This Row],[Order_Quantity]]</f>
        <v>713</v>
      </c>
      <c r="Q81" s="4">
        <f>Table1[[#This Row],[total sales]]-Table1[[#This Row],[total cost]]</f>
        <v>407</v>
      </c>
      <c r="R81" s="6" t="s">
        <v>136</v>
      </c>
      <c r="S81" s="6" t="str">
        <f>_xlfn.CONCAT(Table1[[#This Row],[Sub_Category]],"-",Table1[[#This Row],[bike colour]])</f>
        <v>Road Bikes-yellow</v>
      </c>
    </row>
    <row r="82" spans="1:19" x14ac:dyDescent="0.3">
      <c r="A82" s="1">
        <v>44482</v>
      </c>
      <c r="B82">
        <v>13</v>
      </c>
      <c r="C82" t="s">
        <v>13</v>
      </c>
      <c r="D82">
        <v>2021</v>
      </c>
      <c r="E82">
        <v>40</v>
      </c>
      <c r="F82" t="s">
        <v>14</v>
      </c>
      <c r="G82" t="s">
        <v>122</v>
      </c>
      <c r="H82" t="s">
        <v>27</v>
      </c>
      <c r="I82" t="s">
        <v>28</v>
      </c>
      <c r="J82" t="s">
        <v>17</v>
      </c>
      <c r="K82" t="s">
        <v>66</v>
      </c>
      <c r="L82">
        <v>4</v>
      </c>
      <c r="M82" s="6">
        <v>713</v>
      </c>
      <c r="N82" s="6">
        <v>1120</v>
      </c>
      <c r="O82" s="6">
        <f>Table1[[#This Row],[Unit_Price]]*Table1[[#This Row],[Order_Quantity]]</f>
        <v>4480</v>
      </c>
      <c r="P82" s="6">
        <f>Table1[[#This Row],[Unit_Cost]]*Table1[[#This Row],[Order_Quantity]]</f>
        <v>2852</v>
      </c>
      <c r="Q82" s="4">
        <f>Table1[[#This Row],[total sales]]-Table1[[#This Row],[total cost]]</f>
        <v>1628</v>
      </c>
      <c r="R82" s="6" t="s">
        <v>138</v>
      </c>
      <c r="S82" s="6" t="str">
        <f>_xlfn.CONCAT(Table1[[#This Row],[Sub_Category]],"-",Table1[[#This Row],[bike colour]])</f>
        <v>Road Bikes-black</v>
      </c>
    </row>
    <row r="83" spans="1:19" x14ac:dyDescent="0.3">
      <c r="A83" s="1">
        <v>44482</v>
      </c>
      <c r="B83">
        <v>13</v>
      </c>
      <c r="C83" t="s">
        <v>13</v>
      </c>
      <c r="D83">
        <v>2021</v>
      </c>
      <c r="E83">
        <v>50</v>
      </c>
      <c r="F83" t="s">
        <v>14</v>
      </c>
      <c r="G83" t="s">
        <v>122</v>
      </c>
      <c r="H83" t="s">
        <v>27</v>
      </c>
      <c r="I83" t="s">
        <v>33</v>
      </c>
      <c r="J83" t="s">
        <v>25</v>
      </c>
      <c r="K83" t="s">
        <v>60</v>
      </c>
      <c r="L83">
        <v>4</v>
      </c>
      <c r="M83" s="6">
        <v>713</v>
      </c>
      <c r="N83" s="6">
        <v>1120</v>
      </c>
      <c r="O83" s="6">
        <f>Table1[[#This Row],[Unit_Price]]*Table1[[#This Row],[Order_Quantity]]</f>
        <v>4480</v>
      </c>
      <c r="P83" s="6">
        <f>Table1[[#This Row],[Unit_Cost]]*Table1[[#This Row],[Order_Quantity]]</f>
        <v>2852</v>
      </c>
      <c r="Q83" s="4">
        <f>Table1[[#This Row],[total sales]]-Table1[[#This Row],[total cost]]</f>
        <v>1628</v>
      </c>
      <c r="R83" s="6" t="s">
        <v>138</v>
      </c>
      <c r="S83" s="6" t="str">
        <f>_xlfn.CONCAT(Table1[[#This Row],[Sub_Category]],"-",Table1[[#This Row],[bike colour]])</f>
        <v>Mountain Bikes-black</v>
      </c>
    </row>
    <row r="84" spans="1:19" x14ac:dyDescent="0.3">
      <c r="A84" s="1">
        <v>44482</v>
      </c>
      <c r="B84">
        <v>13</v>
      </c>
      <c r="C84" t="s">
        <v>13</v>
      </c>
      <c r="D84">
        <v>2021</v>
      </c>
      <c r="E84">
        <v>18</v>
      </c>
      <c r="F84" t="s">
        <v>49</v>
      </c>
      <c r="G84" t="s">
        <v>120</v>
      </c>
      <c r="H84" t="s">
        <v>15</v>
      </c>
      <c r="I84" t="s">
        <v>47</v>
      </c>
      <c r="J84" t="s">
        <v>17</v>
      </c>
      <c r="K84" t="s">
        <v>35</v>
      </c>
      <c r="L84">
        <v>3</v>
      </c>
      <c r="M84" s="6">
        <v>713</v>
      </c>
      <c r="N84" s="6">
        <v>1120</v>
      </c>
      <c r="O84" s="6">
        <f>Table1[[#This Row],[Unit_Price]]*Table1[[#This Row],[Order_Quantity]]</f>
        <v>3360</v>
      </c>
      <c r="P84" s="6">
        <f>Table1[[#This Row],[Unit_Cost]]*Table1[[#This Row],[Order_Quantity]]</f>
        <v>2139</v>
      </c>
      <c r="Q84" s="4">
        <f>Table1[[#This Row],[total sales]]-Table1[[#This Row],[total cost]]</f>
        <v>1221</v>
      </c>
      <c r="R84" s="6" t="s">
        <v>137</v>
      </c>
      <c r="S84" s="6" t="str">
        <f>_xlfn.CONCAT(Table1[[#This Row],[Sub_Category]],"-",Table1[[#This Row],[bike colour]])</f>
        <v>Road Bikes-red</v>
      </c>
    </row>
    <row r="85" spans="1:19" x14ac:dyDescent="0.3">
      <c r="A85" s="1">
        <v>44482</v>
      </c>
      <c r="B85">
        <v>13</v>
      </c>
      <c r="C85" t="s">
        <v>13</v>
      </c>
      <c r="D85">
        <v>2021</v>
      </c>
      <c r="E85">
        <v>40</v>
      </c>
      <c r="F85" t="s">
        <v>14</v>
      </c>
      <c r="G85" t="s">
        <v>120</v>
      </c>
      <c r="H85" t="s">
        <v>27</v>
      </c>
      <c r="I85" t="s">
        <v>33</v>
      </c>
      <c r="J85" t="s">
        <v>17</v>
      </c>
      <c r="K85" t="s">
        <v>57</v>
      </c>
      <c r="L85">
        <v>3</v>
      </c>
      <c r="M85" s="6">
        <v>713</v>
      </c>
      <c r="N85" s="6">
        <v>1120</v>
      </c>
      <c r="O85" s="6">
        <f>Table1[[#This Row],[Unit_Price]]*Table1[[#This Row],[Order_Quantity]]</f>
        <v>3360</v>
      </c>
      <c r="P85" s="6">
        <f>Table1[[#This Row],[Unit_Cost]]*Table1[[#This Row],[Order_Quantity]]</f>
        <v>2139</v>
      </c>
      <c r="Q85" s="4">
        <f>Table1[[#This Row],[total sales]]-Table1[[#This Row],[total cost]]</f>
        <v>1221</v>
      </c>
      <c r="R85" s="6" t="s">
        <v>138</v>
      </c>
      <c r="S85" s="6" t="str">
        <f>_xlfn.CONCAT(Table1[[#This Row],[Sub_Category]],"-",Table1[[#This Row],[bike colour]])</f>
        <v>Road Bikes-black</v>
      </c>
    </row>
    <row r="86" spans="1:19" x14ac:dyDescent="0.3">
      <c r="A86" s="1">
        <v>44482</v>
      </c>
      <c r="B86">
        <v>13</v>
      </c>
      <c r="C86" t="s">
        <v>13</v>
      </c>
      <c r="D86">
        <v>2021</v>
      </c>
      <c r="E86">
        <v>43</v>
      </c>
      <c r="F86" t="s">
        <v>14</v>
      </c>
      <c r="G86" t="s">
        <v>122</v>
      </c>
      <c r="H86" t="s">
        <v>27</v>
      </c>
      <c r="I86" t="s">
        <v>33</v>
      </c>
      <c r="J86" t="s">
        <v>25</v>
      </c>
      <c r="K86" t="s">
        <v>34</v>
      </c>
      <c r="L86">
        <v>3</v>
      </c>
      <c r="M86" s="6">
        <v>713</v>
      </c>
      <c r="N86" s="6">
        <v>1120</v>
      </c>
      <c r="O86" s="6">
        <f>Table1[[#This Row],[Unit_Price]]*Table1[[#This Row],[Order_Quantity]]</f>
        <v>3360</v>
      </c>
      <c r="P86" s="6">
        <f>Table1[[#This Row],[Unit_Cost]]*Table1[[#This Row],[Order_Quantity]]</f>
        <v>2139</v>
      </c>
      <c r="Q86" s="4">
        <f>Table1[[#This Row],[total sales]]-Table1[[#This Row],[total cost]]</f>
        <v>1221</v>
      </c>
      <c r="R86" s="6" t="s">
        <v>138</v>
      </c>
      <c r="S86" s="6" t="str">
        <f>_xlfn.CONCAT(Table1[[#This Row],[Sub_Category]],"-",Table1[[#This Row],[bike colour]])</f>
        <v>Mountain Bikes-black</v>
      </c>
    </row>
    <row r="87" spans="1:19" x14ac:dyDescent="0.3">
      <c r="A87" s="1">
        <v>44482</v>
      </c>
      <c r="B87">
        <v>13</v>
      </c>
      <c r="C87" t="s">
        <v>13</v>
      </c>
      <c r="D87">
        <v>2021</v>
      </c>
      <c r="E87">
        <v>32</v>
      </c>
      <c r="F87" t="s">
        <v>19</v>
      </c>
      <c r="G87" t="s">
        <v>122</v>
      </c>
      <c r="H87" t="s">
        <v>15</v>
      </c>
      <c r="I87" t="s">
        <v>82</v>
      </c>
      <c r="J87" t="s">
        <v>17</v>
      </c>
      <c r="K87" t="s">
        <v>55</v>
      </c>
      <c r="L87">
        <v>2</v>
      </c>
      <c r="M87" s="6">
        <v>713</v>
      </c>
      <c r="N87" s="6">
        <v>1120</v>
      </c>
      <c r="O87" s="6">
        <f>Table1[[#This Row],[Unit_Price]]*Table1[[#This Row],[Order_Quantity]]</f>
        <v>2240</v>
      </c>
      <c r="P87" s="6">
        <f>Table1[[#This Row],[Unit_Cost]]*Table1[[#This Row],[Order_Quantity]]</f>
        <v>1426</v>
      </c>
      <c r="Q87" s="4">
        <f>Table1[[#This Row],[total sales]]-Table1[[#This Row],[total cost]]</f>
        <v>814</v>
      </c>
      <c r="R87" s="6" t="s">
        <v>138</v>
      </c>
      <c r="S87" s="6" t="str">
        <f>_xlfn.CONCAT(Table1[[#This Row],[Sub_Category]],"-",Table1[[#This Row],[bike colour]])</f>
        <v>Road Bikes-black</v>
      </c>
    </row>
    <row r="88" spans="1:19" x14ac:dyDescent="0.3">
      <c r="A88" s="1">
        <v>44482</v>
      </c>
      <c r="B88">
        <v>13</v>
      </c>
      <c r="C88" t="s">
        <v>13</v>
      </c>
      <c r="D88">
        <v>2021</v>
      </c>
      <c r="E88">
        <v>29</v>
      </c>
      <c r="F88" t="s">
        <v>19</v>
      </c>
      <c r="G88" t="s">
        <v>122</v>
      </c>
      <c r="H88" t="s">
        <v>27</v>
      </c>
      <c r="I88" t="s">
        <v>30</v>
      </c>
      <c r="J88" t="s">
        <v>17</v>
      </c>
      <c r="K88" t="s">
        <v>29</v>
      </c>
      <c r="L88">
        <v>1</v>
      </c>
      <c r="M88" s="6">
        <v>713</v>
      </c>
      <c r="N88" s="6">
        <v>1120</v>
      </c>
      <c r="O88" s="6">
        <f>Table1[[#This Row],[Unit_Price]]*Table1[[#This Row],[Order_Quantity]]</f>
        <v>1120</v>
      </c>
      <c r="P88" s="6">
        <f>Table1[[#This Row],[Unit_Cost]]*Table1[[#This Row],[Order_Quantity]]</f>
        <v>713</v>
      </c>
      <c r="Q88" s="4">
        <f>Table1[[#This Row],[total sales]]-Table1[[#This Row],[total cost]]</f>
        <v>407</v>
      </c>
      <c r="R88" s="6" t="s">
        <v>136</v>
      </c>
      <c r="S88" s="6" t="str">
        <f>_xlfn.CONCAT(Table1[[#This Row],[Sub_Category]],"-",Table1[[#This Row],[bike colour]])</f>
        <v>Road Bikes-yellow</v>
      </c>
    </row>
    <row r="89" spans="1:19" x14ac:dyDescent="0.3">
      <c r="A89" s="1">
        <v>44482</v>
      </c>
      <c r="B89">
        <v>13</v>
      </c>
      <c r="C89" t="s">
        <v>13</v>
      </c>
      <c r="D89">
        <v>2021</v>
      </c>
      <c r="E89">
        <v>30</v>
      </c>
      <c r="F89" t="s">
        <v>19</v>
      </c>
      <c r="G89" t="s">
        <v>122</v>
      </c>
      <c r="H89" t="s">
        <v>42</v>
      </c>
      <c r="I89" t="s">
        <v>68</v>
      </c>
      <c r="J89" t="s">
        <v>17</v>
      </c>
      <c r="K89" t="s">
        <v>83</v>
      </c>
      <c r="L89">
        <v>1</v>
      </c>
      <c r="M89" s="6">
        <v>713</v>
      </c>
      <c r="N89" s="6">
        <v>1120</v>
      </c>
      <c r="O89" s="6">
        <f>Table1[[#This Row],[Unit_Price]]*Table1[[#This Row],[Order_Quantity]]</f>
        <v>1120</v>
      </c>
      <c r="P89" s="6">
        <f>Table1[[#This Row],[Unit_Cost]]*Table1[[#This Row],[Order_Quantity]]</f>
        <v>713</v>
      </c>
      <c r="Q89" s="4">
        <f>Table1[[#This Row],[total sales]]-Table1[[#This Row],[total cost]]</f>
        <v>407</v>
      </c>
      <c r="R89" s="6" t="s">
        <v>137</v>
      </c>
      <c r="S89" s="6" t="str">
        <f>_xlfn.CONCAT(Table1[[#This Row],[Sub_Category]],"-",Table1[[#This Row],[bike colour]])</f>
        <v>Road Bikes-red</v>
      </c>
    </row>
    <row r="90" spans="1:19" x14ac:dyDescent="0.3">
      <c r="A90" s="1">
        <v>44482</v>
      </c>
      <c r="B90">
        <v>13</v>
      </c>
      <c r="C90" t="s">
        <v>13</v>
      </c>
      <c r="D90">
        <v>2021</v>
      </c>
      <c r="E90">
        <v>31</v>
      </c>
      <c r="F90" t="s">
        <v>19</v>
      </c>
      <c r="G90" t="s">
        <v>120</v>
      </c>
      <c r="H90" t="s">
        <v>15</v>
      </c>
      <c r="I90" t="s">
        <v>16</v>
      </c>
      <c r="J90" t="s">
        <v>25</v>
      </c>
      <c r="K90" t="s">
        <v>26</v>
      </c>
      <c r="L90">
        <v>1</v>
      </c>
      <c r="M90" s="6">
        <v>713</v>
      </c>
      <c r="N90" s="6">
        <v>1120</v>
      </c>
      <c r="O90" s="6">
        <f>Table1[[#This Row],[Unit_Price]]*Table1[[#This Row],[Order_Quantity]]</f>
        <v>1120</v>
      </c>
      <c r="P90" s="6">
        <f>Table1[[#This Row],[Unit_Cost]]*Table1[[#This Row],[Order_Quantity]]</f>
        <v>713</v>
      </c>
      <c r="Q90" s="4">
        <f>Table1[[#This Row],[total sales]]-Table1[[#This Row],[total cost]]</f>
        <v>407</v>
      </c>
      <c r="R90" s="6" t="s">
        <v>138</v>
      </c>
      <c r="S90" s="6" t="str">
        <f>_xlfn.CONCAT(Table1[[#This Row],[Sub_Category]],"-",Table1[[#This Row],[bike colour]])</f>
        <v>Mountain Bikes-black</v>
      </c>
    </row>
    <row r="91" spans="1:19" x14ac:dyDescent="0.3">
      <c r="A91" s="1">
        <v>44482</v>
      </c>
      <c r="B91">
        <v>13</v>
      </c>
      <c r="C91" t="s">
        <v>13</v>
      </c>
      <c r="D91">
        <v>2021</v>
      </c>
      <c r="E91">
        <v>38</v>
      </c>
      <c r="F91" t="s">
        <v>14</v>
      </c>
      <c r="G91" t="s">
        <v>122</v>
      </c>
      <c r="H91" t="s">
        <v>23</v>
      </c>
      <c r="I91" t="s">
        <v>24</v>
      </c>
      <c r="J91" t="s">
        <v>25</v>
      </c>
      <c r="K91" t="s">
        <v>56</v>
      </c>
      <c r="L91">
        <v>1</v>
      </c>
      <c r="M91" s="6">
        <v>713</v>
      </c>
      <c r="N91" s="6">
        <v>1120</v>
      </c>
      <c r="O91" s="6">
        <f>Table1[[#This Row],[Unit_Price]]*Table1[[#This Row],[Order_Quantity]]</f>
        <v>1120</v>
      </c>
      <c r="P91" s="6">
        <f>Table1[[#This Row],[Unit_Cost]]*Table1[[#This Row],[Order_Quantity]]</f>
        <v>713</v>
      </c>
      <c r="Q91" s="4">
        <f>Table1[[#This Row],[total sales]]-Table1[[#This Row],[total cost]]</f>
        <v>407</v>
      </c>
      <c r="R91" s="6" t="s">
        <v>139</v>
      </c>
      <c r="S91" s="6" t="str">
        <f>_xlfn.CONCAT(Table1[[#This Row],[Sub_Category]],"-",Table1[[#This Row],[bike colour]])</f>
        <v>Mountain Bikes-silver</v>
      </c>
    </row>
    <row r="92" spans="1:19" x14ac:dyDescent="0.3">
      <c r="A92" s="1">
        <v>44482</v>
      </c>
      <c r="B92">
        <v>13</v>
      </c>
      <c r="C92" t="s">
        <v>13</v>
      </c>
      <c r="D92">
        <v>2021</v>
      </c>
      <c r="E92">
        <v>45</v>
      </c>
      <c r="F92" t="s">
        <v>14</v>
      </c>
      <c r="G92" t="s">
        <v>122</v>
      </c>
      <c r="H92" t="s">
        <v>27</v>
      </c>
      <c r="I92" t="s">
        <v>30</v>
      </c>
      <c r="J92" t="s">
        <v>17</v>
      </c>
      <c r="K92" t="s">
        <v>80</v>
      </c>
      <c r="L92">
        <v>1</v>
      </c>
      <c r="M92" s="6">
        <v>713</v>
      </c>
      <c r="N92" s="6">
        <v>1120</v>
      </c>
      <c r="O92" s="6">
        <f>Table1[[#This Row],[Unit_Price]]*Table1[[#This Row],[Order_Quantity]]</f>
        <v>1120</v>
      </c>
      <c r="P92" s="6">
        <f>Table1[[#This Row],[Unit_Cost]]*Table1[[#This Row],[Order_Quantity]]</f>
        <v>713</v>
      </c>
      <c r="Q92" s="4">
        <f>Table1[[#This Row],[total sales]]-Table1[[#This Row],[total cost]]</f>
        <v>407</v>
      </c>
      <c r="R92" s="6" t="s">
        <v>138</v>
      </c>
      <c r="S92" s="6" t="str">
        <f>_xlfn.CONCAT(Table1[[#This Row],[Sub_Category]],"-",Table1[[#This Row],[bike colour]])</f>
        <v>Road Bikes-black</v>
      </c>
    </row>
    <row r="93" spans="1:19" x14ac:dyDescent="0.3">
      <c r="A93" s="1">
        <v>44482</v>
      </c>
      <c r="B93">
        <v>13</v>
      </c>
      <c r="C93" t="s">
        <v>13</v>
      </c>
      <c r="D93">
        <v>2021</v>
      </c>
      <c r="E93">
        <v>47</v>
      </c>
      <c r="F93" t="s">
        <v>14</v>
      </c>
      <c r="G93" t="s">
        <v>122</v>
      </c>
      <c r="H93" t="s">
        <v>27</v>
      </c>
      <c r="I93" t="s">
        <v>33</v>
      </c>
      <c r="J93" t="s">
        <v>25</v>
      </c>
      <c r="K93" t="s">
        <v>84</v>
      </c>
      <c r="L93">
        <v>1</v>
      </c>
      <c r="M93" s="6">
        <v>713</v>
      </c>
      <c r="N93" s="6">
        <v>1120</v>
      </c>
      <c r="O93" s="6">
        <f>Table1[[#This Row],[Unit_Price]]*Table1[[#This Row],[Order_Quantity]]</f>
        <v>1120</v>
      </c>
      <c r="P93" s="6">
        <f>Table1[[#This Row],[Unit_Cost]]*Table1[[#This Row],[Order_Quantity]]</f>
        <v>713</v>
      </c>
      <c r="Q93" s="4">
        <f>Table1[[#This Row],[total sales]]-Table1[[#This Row],[total cost]]</f>
        <v>407</v>
      </c>
      <c r="R93" s="6" t="s">
        <v>139</v>
      </c>
      <c r="S93" s="6" t="str">
        <f>_xlfn.CONCAT(Table1[[#This Row],[Sub_Category]],"-",Table1[[#This Row],[bike colour]])</f>
        <v>Mountain Bikes-silver</v>
      </c>
    </row>
    <row r="94" spans="1:19" x14ac:dyDescent="0.3">
      <c r="A94" s="1">
        <v>44482</v>
      </c>
      <c r="B94">
        <v>13</v>
      </c>
      <c r="C94" t="s">
        <v>13</v>
      </c>
      <c r="D94">
        <v>2021</v>
      </c>
      <c r="E94">
        <v>55</v>
      </c>
      <c r="F94" t="s">
        <v>14</v>
      </c>
      <c r="G94" t="s">
        <v>122</v>
      </c>
      <c r="H94" t="s">
        <v>27</v>
      </c>
      <c r="I94" t="s">
        <v>33</v>
      </c>
      <c r="J94" t="s">
        <v>17</v>
      </c>
      <c r="K94" t="s">
        <v>80</v>
      </c>
      <c r="L94">
        <v>1</v>
      </c>
      <c r="M94" s="6">
        <v>713</v>
      </c>
      <c r="N94" s="6">
        <v>1120</v>
      </c>
      <c r="O94" s="6">
        <f>Table1[[#This Row],[Unit_Price]]*Table1[[#This Row],[Order_Quantity]]</f>
        <v>1120</v>
      </c>
      <c r="P94" s="6">
        <f>Table1[[#This Row],[Unit_Cost]]*Table1[[#This Row],[Order_Quantity]]</f>
        <v>713</v>
      </c>
      <c r="Q94" s="4">
        <f>Table1[[#This Row],[total sales]]-Table1[[#This Row],[total cost]]</f>
        <v>407</v>
      </c>
      <c r="R94" s="6" t="s">
        <v>138</v>
      </c>
      <c r="S94" s="6" t="str">
        <f>_xlfn.CONCAT(Table1[[#This Row],[Sub_Category]],"-",Table1[[#This Row],[bike colour]])</f>
        <v>Road Bikes-black</v>
      </c>
    </row>
    <row r="95" spans="1:19" x14ac:dyDescent="0.3">
      <c r="A95" s="1">
        <v>44483</v>
      </c>
      <c r="B95">
        <v>14</v>
      </c>
      <c r="C95" t="s">
        <v>13</v>
      </c>
      <c r="D95">
        <v>2021</v>
      </c>
      <c r="E95">
        <v>37</v>
      </c>
      <c r="F95" t="s">
        <v>14</v>
      </c>
      <c r="G95" t="s">
        <v>120</v>
      </c>
      <c r="H95" t="s">
        <v>27</v>
      </c>
      <c r="I95" t="s">
        <v>33</v>
      </c>
      <c r="J95" t="s">
        <v>17</v>
      </c>
      <c r="K95" t="s">
        <v>65</v>
      </c>
      <c r="L95">
        <v>4</v>
      </c>
      <c r="M95" s="6">
        <v>713</v>
      </c>
      <c r="N95" s="6">
        <v>1120</v>
      </c>
      <c r="O95" s="6">
        <f>Table1[[#This Row],[Unit_Price]]*Table1[[#This Row],[Order_Quantity]]</f>
        <v>4480</v>
      </c>
      <c r="P95" s="6">
        <f>Table1[[#This Row],[Unit_Cost]]*Table1[[#This Row],[Order_Quantity]]</f>
        <v>2852</v>
      </c>
      <c r="Q95" s="4">
        <f>Table1[[#This Row],[total sales]]-Table1[[#This Row],[total cost]]</f>
        <v>1628</v>
      </c>
      <c r="R95" s="6" t="s">
        <v>136</v>
      </c>
      <c r="S95" s="6" t="str">
        <f>_xlfn.CONCAT(Table1[[#This Row],[Sub_Category]],"-",Table1[[#This Row],[bike colour]])</f>
        <v>Road Bikes-yellow</v>
      </c>
    </row>
    <row r="96" spans="1:19" x14ac:dyDescent="0.3">
      <c r="A96" s="1">
        <v>44483</v>
      </c>
      <c r="B96">
        <v>14</v>
      </c>
      <c r="C96" t="s">
        <v>13</v>
      </c>
      <c r="D96">
        <v>2021</v>
      </c>
      <c r="E96">
        <v>48</v>
      </c>
      <c r="F96" t="s">
        <v>14</v>
      </c>
      <c r="G96" t="s">
        <v>120</v>
      </c>
      <c r="H96" t="s">
        <v>27</v>
      </c>
      <c r="I96" t="s">
        <v>33</v>
      </c>
      <c r="J96" t="s">
        <v>17</v>
      </c>
      <c r="K96" t="s">
        <v>65</v>
      </c>
      <c r="L96">
        <v>3</v>
      </c>
      <c r="M96" s="6">
        <v>713</v>
      </c>
      <c r="N96" s="6">
        <v>1120</v>
      </c>
      <c r="O96" s="6">
        <f>Table1[[#This Row],[Unit_Price]]*Table1[[#This Row],[Order_Quantity]]</f>
        <v>3360</v>
      </c>
      <c r="P96" s="6">
        <f>Table1[[#This Row],[Unit_Cost]]*Table1[[#This Row],[Order_Quantity]]</f>
        <v>2139</v>
      </c>
      <c r="Q96" s="4">
        <f>Table1[[#This Row],[total sales]]-Table1[[#This Row],[total cost]]</f>
        <v>1221</v>
      </c>
      <c r="R96" s="6" t="s">
        <v>136</v>
      </c>
      <c r="S96" s="6" t="str">
        <f>_xlfn.CONCAT(Table1[[#This Row],[Sub_Category]],"-",Table1[[#This Row],[bike colour]])</f>
        <v>Road Bikes-yellow</v>
      </c>
    </row>
    <row r="97" spans="1:19" x14ac:dyDescent="0.3">
      <c r="A97" s="1">
        <v>44483</v>
      </c>
      <c r="B97">
        <v>14</v>
      </c>
      <c r="C97" t="s">
        <v>13</v>
      </c>
      <c r="D97">
        <v>2021</v>
      </c>
      <c r="E97">
        <v>45</v>
      </c>
      <c r="F97" t="s">
        <v>14</v>
      </c>
      <c r="G97" t="s">
        <v>120</v>
      </c>
      <c r="H97" t="s">
        <v>27</v>
      </c>
      <c r="I97" t="s">
        <v>45</v>
      </c>
      <c r="J97" t="s">
        <v>17</v>
      </c>
      <c r="K97" t="s">
        <v>41</v>
      </c>
      <c r="L97">
        <v>2</v>
      </c>
      <c r="M97" s="6">
        <v>713</v>
      </c>
      <c r="N97" s="6">
        <v>1120</v>
      </c>
      <c r="O97" s="6">
        <f>Table1[[#This Row],[Unit_Price]]*Table1[[#This Row],[Order_Quantity]]</f>
        <v>2240</v>
      </c>
      <c r="P97" s="6">
        <f>Table1[[#This Row],[Unit_Cost]]*Table1[[#This Row],[Order_Quantity]]</f>
        <v>1426</v>
      </c>
      <c r="Q97" s="4">
        <f>Table1[[#This Row],[total sales]]-Table1[[#This Row],[total cost]]</f>
        <v>814</v>
      </c>
      <c r="R97" s="6" t="s">
        <v>138</v>
      </c>
      <c r="S97" s="6" t="str">
        <f>_xlfn.CONCAT(Table1[[#This Row],[Sub_Category]],"-",Table1[[#This Row],[bike colour]])</f>
        <v>Road Bikes-black</v>
      </c>
    </row>
    <row r="98" spans="1:19" x14ac:dyDescent="0.3">
      <c r="A98" s="1">
        <v>44483</v>
      </c>
      <c r="B98">
        <v>14</v>
      </c>
      <c r="C98" t="s">
        <v>13</v>
      </c>
      <c r="D98">
        <v>2021</v>
      </c>
      <c r="E98">
        <v>28</v>
      </c>
      <c r="F98" t="s">
        <v>19</v>
      </c>
      <c r="G98" t="s">
        <v>122</v>
      </c>
      <c r="H98" t="s">
        <v>27</v>
      </c>
      <c r="I98" t="s">
        <v>28</v>
      </c>
      <c r="J98" t="s">
        <v>25</v>
      </c>
      <c r="K98" t="s">
        <v>56</v>
      </c>
      <c r="L98">
        <v>1</v>
      </c>
      <c r="M98" s="6">
        <v>713</v>
      </c>
      <c r="N98" s="6">
        <v>1120</v>
      </c>
      <c r="O98" s="6">
        <f>Table1[[#This Row],[Unit_Price]]*Table1[[#This Row],[Order_Quantity]]</f>
        <v>1120</v>
      </c>
      <c r="P98" s="6">
        <f>Table1[[#This Row],[Unit_Cost]]*Table1[[#This Row],[Order_Quantity]]</f>
        <v>713</v>
      </c>
      <c r="Q98" s="4">
        <f>Table1[[#This Row],[total sales]]-Table1[[#This Row],[total cost]]</f>
        <v>407</v>
      </c>
      <c r="R98" s="6" t="s">
        <v>139</v>
      </c>
      <c r="S98" s="6" t="str">
        <f>_xlfn.CONCAT(Table1[[#This Row],[Sub_Category]],"-",Table1[[#This Row],[bike colour]])</f>
        <v>Mountain Bikes-silver</v>
      </c>
    </row>
    <row r="99" spans="1:19" x14ac:dyDescent="0.3">
      <c r="A99" s="1">
        <v>44483</v>
      </c>
      <c r="B99">
        <v>14</v>
      </c>
      <c r="C99" t="s">
        <v>13</v>
      </c>
      <c r="D99">
        <v>2021</v>
      </c>
      <c r="E99">
        <v>31</v>
      </c>
      <c r="F99" t="s">
        <v>19</v>
      </c>
      <c r="G99" t="s">
        <v>122</v>
      </c>
      <c r="H99" t="s">
        <v>42</v>
      </c>
      <c r="I99" t="s">
        <v>74</v>
      </c>
      <c r="J99" t="s">
        <v>17</v>
      </c>
      <c r="K99" t="s">
        <v>85</v>
      </c>
      <c r="L99">
        <v>1</v>
      </c>
      <c r="M99" s="6">
        <v>713</v>
      </c>
      <c r="N99" s="6">
        <v>1120</v>
      </c>
      <c r="O99" s="6">
        <f>Table1[[#This Row],[Unit_Price]]*Table1[[#This Row],[Order_Quantity]]</f>
        <v>1120</v>
      </c>
      <c r="P99" s="6">
        <f>Table1[[#This Row],[Unit_Cost]]*Table1[[#This Row],[Order_Quantity]]</f>
        <v>713</v>
      </c>
      <c r="Q99" s="4">
        <f>Table1[[#This Row],[total sales]]-Table1[[#This Row],[total cost]]</f>
        <v>407</v>
      </c>
      <c r="R99" s="6" t="s">
        <v>137</v>
      </c>
      <c r="S99" s="6" t="str">
        <f>_xlfn.CONCAT(Table1[[#This Row],[Sub_Category]],"-",Table1[[#This Row],[bike colour]])</f>
        <v>Road Bikes-red</v>
      </c>
    </row>
    <row r="100" spans="1:19" x14ac:dyDescent="0.3">
      <c r="A100" s="1">
        <v>44483</v>
      </c>
      <c r="B100">
        <v>14</v>
      </c>
      <c r="C100" t="s">
        <v>13</v>
      </c>
      <c r="D100">
        <v>2021</v>
      </c>
      <c r="E100">
        <v>42</v>
      </c>
      <c r="F100" t="s">
        <v>14</v>
      </c>
      <c r="G100" t="s">
        <v>120</v>
      </c>
      <c r="H100" t="s">
        <v>42</v>
      </c>
      <c r="I100" t="s">
        <v>86</v>
      </c>
      <c r="J100" t="s">
        <v>17</v>
      </c>
      <c r="K100" t="s">
        <v>32</v>
      </c>
      <c r="L100">
        <v>1</v>
      </c>
      <c r="M100" s="6">
        <v>713</v>
      </c>
      <c r="N100" s="6">
        <v>1120</v>
      </c>
      <c r="O100" s="6">
        <f>Table1[[#This Row],[Unit_Price]]*Table1[[#This Row],[Order_Quantity]]</f>
        <v>1120</v>
      </c>
      <c r="P100" s="6">
        <f>Table1[[#This Row],[Unit_Cost]]*Table1[[#This Row],[Order_Quantity]]</f>
        <v>713</v>
      </c>
      <c r="Q100" s="4">
        <f>Table1[[#This Row],[total sales]]-Table1[[#This Row],[total cost]]</f>
        <v>407</v>
      </c>
      <c r="R100" s="6" t="s">
        <v>137</v>
      </c>
      <c r="S100" s="6" t="str">
        <f>_xlfn.CONCAT(Table1[[#This Row],[Sub_Category]],"-",Table1[[#This Row],[bike colour]])</f>
        <v>Road Bikes-red</v>
      </c>
    </row>
    <row r="101" spans="1:19" x14ac:dyDescent="0.3">
      <c r="A101" s="1">
        <v>44484</v>
      </c>
      <c r="B101">
        <v>15</v>
      </c>
      <c r="C101" t="s">
        <v>13</v>
      </c>
      <c r="D101">
        <v>2021</v>
      </c>
      <c r="E101">
        <v>41</v>
      </c>
      <c r="F101" t="s">
        <v>14</v>
      </c>
      <c r="G101" t="s">
        <v>122</v>
      </c>
      <c r="H101" t="s">
        <v>27</v>
      </c>
      <c r="I101" t="s">
        <v>28</v>
      </c>
      <c r="J101" t="s">
        <v>17</v>
      </c>
      <c r="K101" t="s">
        <v>66</v>
      </c>
      <c r="L101">
        <v>4</v>
      </c>
      <c r="M101" s="6">
        <v>713</v>
      </c>
      <c r="N101" s="6">
        <v>1120</v>
      </c>
      <c r="O101" s="6">
        <f>Table1[[#This Row],[Unit_Price]]*Table1[[#This Row],[Order_Quantity]]</f>
        <v>4480</v>
      </c>
      <c r="P101" s="6">
        <f>Table1[[#This Row],[Unit_Cost]]*Table1[[#This Row],[Order_Quantity]]</f>
        <v>2852</v>
      </c>
      <c r="Q101" s="4">
        <f>Table1[[#This Row],[total sales]]-Table1[[#This Row],[total cost]]</f>
        <v>1628</v>
      </c>
      <c r="R101" s="6" t="s">
        <v>138</v>
      </c>
      <c r="S101" s="6" t="str">
        <f>_xlfn.CONCAT(Table1[[#This Row],[Sub_Category]],"-",Table1[[#This Row],[bike colour]])</f>
        <v>Road Bikes-black</v>
      </c>
    </row>
    <row r="102" spans="1:19" x14ac:dyDescent="0.3">
      <c r="A102" s="1">
        <v>44484</v>
      </c>
      <c r="B102">
        <v>15</v>
      </c>
      <c r="C102" t="s">
        <v>13</v>
      </c>
      <c r="D102">
        <v>2021</v>
      </c>
      <c r="E102">
        <v>57</v>
      </c>
      <c r="F102" t="s">
        <v>14</v>
      </c>
      <c r="G102" t="s">
        <v>122</v>
      </c>
      <c r="H102" t="s">
        <v>27</v>
      </c>
      <c r="I102" t="s">
        <v>33</v>
      </c>
      <c r="J102" t="s">
        <v>17</v>
      </c>
      <c r="K102" t="s">
        <v>38</v>
      </c>
      <c r="L102">
        <v>4</v>
      </c>
      <c r="M102" s="6">
        <v>713</v>
      </c>
      <c r="N102" s="6">
        <v>1120</v>
      </c>
      <c r="O102" s="6">
        <f>Table1[[#This Row],[Unit_Price]]*Table1[[#This Row],[Order_Quantity]]</f>
        <v>4480</v>
      </c>
      <c r="P102" s="6">
        <f>Table1[[#This Row],[Unit_Cost]]*Table1[[#This Row],[Order_Quantity]]</f>
        <v>2852</v>
      </c>
      <c r="Q102" s="4">
        <f>Table1[[#This Row],[total sales]]-Table1[[#This Row],[total cost]]</f>
        <v>1628</v>
      </c>
      <c r="R102" s="6" t="s">
        <v>137</v>
      </c>
      <c r="S102" s="6" t="str">
        <f>_xlfn.CONCAT(Table1[[#This Row],[Sub_Category]],"-",Table1[[#This Row],[bike colour]])</f>
        <v>Road Bikes-red</v>
      </c>
    </row>
    <row r="103" spans="1:19" x14ac:dyDescent="0.3">
      <c r="A103" s="1">
        <v>44484</v>
      </c>
      <c r="B103">
        <v>15</v>
      </c>
      <c r="C103" t="s">
        <v>13</v>
      </c>
      <c r="D103">
        <v>2021</v>
      </c>
      <c r="E103">
        <v>24</v>
      </c>
      <c r="F103" t="s">
        <v>49</v>
      </c>
      <c r="G103" t="s">
        <v>120</v>
      </c>
      <c r="H103" t="s">
        <v>27</v>
      </c>
      <c r="I103" t="s">
        <v>76</v>
      </c>
      <c r="J103" t="s">
        <v>17</v>
      </c>
      <c r="K103" t="s">
        <v>44</v>
      </c>
      <c r="L103">
        <v>3</v>
      </c>
      <c r="M103" s="6">
        <v>713</v>
      </c>
      <c r="N103" s="6">
        <v>1120</v>
      </c>
      <c r="O103" s="6">
        <f>Table1[[#This Row],[Unit_Price]]*Table1[[#This Row],[Order_Quantity]]</f>
        <v>3360</v>
      </c>
      <c r="P103" s="6">
        <f>Table1[[#This Row],[Unit_Cost]]*Table1[[#This Row],[Order_Quantity]]</f>
        <v>2139</v>
      </c>
      <c r="Q103" s="4">
        <f>Table1[[#This Row],[total sales]]-Table1[[#This Row],[total cost]]</f>
        <v>1221</v>
      </c>
      <c r="R103" s="6" t="s">
        <v>136</v>
      </c>
      <c r="S103" s="6" t="str">
        <f>_xlfn.CONCAT(Table1[[#This Row],[Sub_Category]],"-",Table1[[#This Row],[bike colour]])</f>
        <v>Road Bikes-yellow</v>
      </c>
    </row>
    <row r="104" spans="1:19" x14ac:dyDescent="0.3">
      <c r="A104" s="1">
        <v>44484</v>
      </c>
      <c r="B104">
        <v>15</v>
      </c>
      <c r="C104" t="s">
        <v>13</v>
      </c>
      <c r="D104">
        <v>2021</v>
      </c>
      <c r="E104">
        <v>43</v>
      </c>
      <c r="F104" t="s">
        <v>14</v>
      </c>
      <c r="G104" t="s">
        <v>120</v>
      </c>
      <c r="H104" t="s">
        <v>15</v>
      </c>
      <c r="I104" t="s">
        <v>47</v>
      </c>
      <c r="J104" t="s">
        <v>17</v>
      </c>
      <c r="K104" t="s">
        <v>59</v>
      </c>
      <c r="L104">
        <v>3</v>
      </c>
      <c r="M104" s="6">
        <v>713</v>
      </c>
      <c r="N104" s="6">
        <v>1120</v>
      </c>
      <c r="O104" s="6">
        <f>Table1[[#This Row],[Unit_Price]]*Table1[[#This Row],[Order_Quantity]]</f>
        <v>3360</v>
      </c>
      <c r="P104" s="6">
        <f>Table1[[#This Row],[Unit_Cost]]*Table1[[#This Row],[Order_Quantity]]</f>
        <v>2139</v>
      </c>
      <c r="Q104" s="4">
        <f>Table1[[#This Row],[total sales]]-Table1[[#This Row],[total cost]]</f>
        <v>1221</v>
      </c>
      <c r="R104" s="6" t="s">
        <v>137</v>
      </c>
      <c r="S104" s="6" t="str">
        <f>_xlfn.CONCAT(Table1[[#This Row],[Sub_Category]],"-",Table1[[#This Row],[bike colour]])</f>
        <v>Road Bikes-red</v>
      </c>
    </row>
    <row r="105" spans="1:19" x14ac:dyDescent="0.3">
      <c r="A105" s="1">
        <v>44484</v>
      </c>
      <c r="B105">
        <v>15</v>
      </c>
      <c r="C105" t="s">
        <v>13</v>
      </c>
      <c r="D105">
        <v>2021</v>
      </c>
      <c r="E105">
        <v>27</v>
      </c>
      <c r="F105" t="s">
        <v>19</v>
      </c>
      <c r="G105" t="s">
        <v>120</v>
      </c>
      <c r="H105" t="s">
        <v>23</v>
      </c>
      <c r="I105" t="s">
        <v>24</v>
      </c>
      <c r="J105" t="s">
        <v>25</v>
      </c>
      <c r="K105" t="s">
        <v>31</v>
      </c>
      <c r="L105">
        <v>1</v>
      </c>
      <c r="M105" s="6">
        <v>713</v>
      </c>
      <c r="N105" s="6">
        <v>1120</v>
      </c>
      <c r="O105" s="6">
        <f>Table1[[#This Row],[Unit_Price]]*Table1[[#This Row],[Order_Quantity]]</f>
        <v>1120</v>
      </c>
      <c r="P105" s="6">
        <f>Table1[[#This Row],[Unit_Cost]]*Table1[[#This Row],[Order_Quantity]]</f>
        <v>713</v>
      </c>
      <c r="Q105" s="4">
        <f>Table1[[#This Row],[total sales]]-Table1[[#This Row],[total cost]]</f>
        <v>407</v>
      </c>
      <c r="R105" s="6" t="s">
        <v>139</v>
      </c>
      <c r="S105" s="6" t="str">
        <f>_xlfn.CONCAT(Table1[[#This Row],[Sub_Category]],"-",Table1[[#This Row],[bike colour]])</f>
        <v>Mountain Bikes-silver</v>
      </c>
    </row>
    <row r="106" spans="1:19" x14ac:dyDescent="0.3">
      <c r="A106" s="1">
        <v>44484</v>
      </c>
      <c r="B106">
        <v>15</v>
      </c>
      <c r="C106" t="s">
        <v>13</v>
      </c>
      <c r="D106">
        <v>2021</v>
      </c>
      <c r="E106">
        <v>29</v>
      </c>
      <c r="F106" t="s">
        <v>19</v>
      </c>
      <c r="G106" t="s">
        <v>120</v>
      </c>
      <c r="H106" t="s">
        <v>23</v>
      </c>
      <c r="I106" t="s">
        <v>24</v>
      </c>
      <c r="J106" t="s">
        <v>17</v>
      </c>
      <c r="K106" t="s">
        <v>65</v>
      </c>
      <c r="L106">
        <v>1</v>
      </c>
      <c r="M106" s="6">
        <v>713</v>
      </c>
      <c r="N106" s="6">
        <v>1120</v>
      </c>
      <c r="O106" s="6">
        <f>Table1[[#This Row],[Unit_Price]]*Table1[[#This Row],[Order_Quantity]]</f>
        <v>1120</v>
      </c>
      <c r="P106" s="6">
        <f>Table1[[#This Row],[Unit_Cost]]*Table1[[#This Row],[Order_Quantity]]</f>
        <v>713</v>
      </c>
      <c r="Q106" s="4">
        <f>Table1[[#This Row],[total sales]]-Table1[[#This Row],[total cost]]</f>
        <v>407</v>
      </c>
      <c r="R106" s="6" t="s">
        <v>136</v>
      </c>
      <c r="S106" s="6" t="str">
        <f>_xlfn.CONCAT(Table1[[#This Row],[Sub_Category]],"-",Table1[[#This Row],[bike colour]])</f>
        <v>Road Bikes-yellow</v>
      </c>
    </row>
    <row r="107" spans="1:19" x14ac:dyDescent="0.3">
      <c r="A107" s="1">
        <v>44485</v>
      </c>
      <c r="B107">
        <v>16</v>
      </c>
      <c r="C107" t="s">
        <v>13</v>
      </c>
      <c r="D107">
        <v>2021</v>
      </c>
      <c r="E107">
        <v>46</v>
      </c>
      <c r="F107" t="s">
        <v>14</v>
      </c>
      <c r="G107" t="s">
        <v>120</v>
      </c>
      <c r="H107" t="s">
        <v>50</v>
      </c>
      <c r="I107" t="s">
        <v>87</v>
      </c>
      <c r="J107" t="s">
        <v>25</v>
      </c>
      <c r="K107" t="s">
        <v>61</v>
      </c>
      <c r="L107">
        <v>4</v>
      </c>
      <c r="M107" s="6">
        <v>713</v>
      </c>
      <c r="N107" s="6">
        <v>1120</v>
      </c>
      <c r="O107" s="6">
        <f>Table1[[#This Row],[Unit_Price]]*Table1[[#This Row],[Order_Quantity]]</f>
        <v>4480</v>
      </c>
      <c r="P107" s="6">
        <f>Table1[[#This Row],[Unit_Cost]]*Table1[[#This Row],[Order_Quantity]]</f>
        <v>2852</v>
      </c>
      <c r="Q107" s="4">
        <f>Table1[[#This Row],[total sales]]-Table1[[#This Row],[total cost]]</f>
        <v>1628</v>
      </c>
      <c r="R107" s="6" t="s">
        <v>138</v>
      </c>
      <c r="S107" s="6" t="str">
        <f>_xlfn.CONCAT(Table1[[#This Row],[Sub_Category]],"-",Table1[[#This Row],[bike colour]])</f>
        <v>Mountain Bikes-black</v>
      </c>
    </row>
    <row r="108" spans="1:19" x14ac:dyDescent="0.3">
      <c r="A108" s="1">
        <v>44485</v>
      </c>
      <c r="B108">
        <v>16</v>
      </c>
      <c r="C108" t="s">
        <v>13</v>
      </c>
      <c r="D108">
        <v>2021</v>
      </c>
      <c r="E108">
        <v>47</v>
      </c>
      <c r="F108" t="s">
        <v>14</v>
      </c>
      <c r="G108" t="s">
        <v>122</v>
      </c>
      <c r="H108" t="s">
        <v>15</v>
      </c>
      <c r="I108" t="s">
        <v>16</v>
      </c>
      <c r="J108" t="s">
        <v>17</v>
      </c>
      <c r="K108" t="s">
        <v>88</v>
      </c>
      <c r="L108">
        <v>4</v>
      </c>
      <c r="M108" s="6">
        <v>713</v>
      </c>
      <c r="N108" s="6">
        <v>1120</v>
      </c>
      <c r="O108" s="6">
        <f>Table1[[#This Row],[Unit_Price]]*Table1[[#This Row],[Order_Quantity]]</f>
        <v>4480</v>
      </c>
      <c r="P108" s="6">
        <f>Table1[[#This Row],[Unit_Cost]]*Table1[[#This Row],[Order_Quantity]]</f>
        <v>2852</v>
      </c>
      <c r="Q108" s="4">
        <f>Table1[[#This Row],[total sales]]-Table1[[#This Row],[total cost]]</f>
        <v>1628</v>
      </c>
      <c r="R108" s="6" t="s">
        <v>137</v>
      </c>
      <c r="S108" s="6" t="str">
        <f>_xlfn.CONCAT(Table1[[#This Row],[Sub_Category]],"-",Table1[[#This Row],[bike colour]])</f>
        <v>Road Bikes-red</v>
      </c>
    </row>
    <row r="109" spans="1:19" x14ac:dyDescent="0.3">
      <c r="A109" s="1">
        <v>44485</v>
      </c>
      <c r="B109">
        <v>16</v>
      </c>
      <c r="C109" t="s">
        <v>13</v>
      </c>
      <c r="D109">
        <v>2021</v>
      </c>
      <c r="E109">
        <v>36</v>
      </c>
      <c r="F109" t="s">
        <v>14</v>
      </c>
      <c r="G109" t="s">
        <v>120</v>
      </c>
      <c r="H109" t="s">
        <v>27</v>
      </c>
      <c r="I109" t="s">
        <v>28</v>
      </c>
      <c r="J109" t="s">
        <v>17</v>
      </c>
      <c r="K109" t="s">
        <v>63</v>
      </c>
      <c r="L109">
        <v>3</v>
      </c>
      <c r="M109" s="6">
        <v>713</v>
      </c>
      <c r="N109" s="6">
        <v>1120</v>
      </c>
      <c r="O109" s="6">
        <f>Table1[[#This Row],[Unit_Price]]*Table1[[#This Row],[Order_Quantity]]</f>
        <v>3360</v>
      </c>
      <c r="P109" s="6">
        <f>Table1[[#This Row],[Unit_Cost]]*Table1[[#This Row],[Order_Quantity]]</f>
        <v>2139</v>
      </c>
      <c r="Q109" s="4">
        <f>Table1[[#This Row],[total sales]]-Table1[[#This Row],[total cost]]</f>
        <v>1221</v>
      </c>
      <c r="R109" s="6" t="s">
        <v>136</v>
      </c>
      <c r="S109" s="6" t="str">
        <f>_xlfn.CONCAT(Table1[[#This Row],[Sub_Category]],"-",Table1[[#This Row],[bike colour]])</f>
        <v>Road Bikes-yellow</v>
      </c>
    </row>
    <row r="110" spans="1:19" x14ac:dyDescent="0.3">
      <c r="A110" s="1">
        <v>44485</v>
      </c>
      <c r="B110">
        <v>16</v>
      </c>
      <c r="C110" t="s">
        <v>13</v>
      </c>
      <c r="D110">
        <v>2021</v>
      </c>
      <c r="E110">
        <v>42</v>
      </c>
      <c r="F110" t="s">
        <v>14</v>
      </c>
      <c r="G110" t="s">
        <v>120</v>
      </c>
      <c r="H110" t="s">
        <v>15</v>
      </c>
      <c r="I110" t="s">
        <v>47</v>
      </c>
      <c r="J110" t="s">
        <v>17</v>
      </c>
      <c r="K110" t="s">
        <v>41</v>
      </c>
      <c r="L110">
        <v>2</v>
      </c>
      <c r="M110" s="6">
        <v>713</v>
      </c>
      <c r="N110" s="6">
        <v>1120</v>
      </c>
      <c r="O110" s="6">
        <f>Table1[[#This Row],[Unit_Price]]*Table1[[#This Row],[Order_Quantity]]</f>
        <v>2240</v>
      </c>
      <c r="P110" s="6">
        <f>Table1[[#This Row],[Unit_Cost]]*Table1[[#This Row],[Order_Quantity]]</f>
        <v>1426</v>
      </c>
      <c r="Q110" s="4">
        <f>Table1[[#This Row],[total sales]]-Table1[[#This Row],[total cost]]</f>
        <v>814</v>
      </c>
      <c r="R110" s="6" t="s">
        <v>138</v>
      </c>
      <c r="S110" s="6" t="str">
        <f>_xlfn.CONCAT(Table1[[#This Row],[Sub_Category]],"-",Table1[[#This Row],[bike colour]])</f>
        <v>Road Bikes-black</v>
      </c>
    </row>
    <row r="111" spans="1:19" x14ac:dyDescent="0.3">
      <c r="A111" s="1">
        <v>44485</v>
      </c>
      <c r="B111">
        <v>16</v>
      </c>
      <c r="C111" t="s">
        <v>13</v>
      </c>
      <c r="D111">
        <v>2021</v>
      </c>
      <c r="E111">
        <v>47</v>
      </c>
      <c r="F111" t="s">
        <v>14</v>
      </c>
      <c r="G111" t="s">
        <v>120</v>
      </c>
      <c r="H111" t="s">
        <v>15</v>
      </c>
      <c r="I111" t="s">
        <v>89</v>
      </c>
      <c r="J111" t="s">
        <v>17</v>
      </c>
      <c r="K111" t="s">
        <v>32</v>
      </c>
      <c r="L111">
        <v>2</v>
      </c>
      <c r="M111" s="6">
        <v>713</v>
      </c>
      <c r="N111" s="6">
        <v>1120</v>
      </c>
      <c r="O111" s="6">
        <f>Table1[[#This Row],[Unit_Price]]*Table1[[#This Row],[Order_Quantity]]</f>
        <v>2240</v>
      </c>
      <c r="P111" s="6">
        <f>Table1[[#This Row],[Unit_Cost]]*Table1[[#This Row],[Order_Quantity]]</f>
        <v>1426</v>
      </c>
      <c r="Q111" s="4">
        <f>Table1[[#This Row],[total sales]]-Table1[[#This Row],[total cost]]</f>
        <v>814</v>
      </c>
      <c r="R111" s="6" t="s">
        <v>137</v>
      </c>
      <c r="S111" s="6" t="str">
        <f>_xlfn.CONCAT(Table1[[#This Row],[Sub_Category]],"-",Table1[[#This Row],[bike colour]])</f>
        <v>Road Bikes-red</v>
      </c>
    </row>
    <row r="112" spans="1:19" x14ac:dyDescent="0.3">
      <c r="A112" s="1">
        <v>44485</v>
      </c>
      <c r="B112">
        <v>16</v>
      </c>
      <c r="C112" t="s">
        <v>13</v>
      </c>
      <c r="D112">
        <v>2021</v>
      </c>
      <c r="E112">
        <v>28</v>
      </c>
      <c r="F112" t="s">
        <v>19</v>
      </c>
      <c r="G112" t="s">
        <v>120</v>
      </c>
      <c r="H112" t="s">
        <v>23</v>
      </c>
      <c r="I112" t="s">
        <v>24</v>
      </c>
      <c r="J112" t="s">
        <v>25</v>
      </c>
      <c r="K112" t="s">
        <v>61</v>
      </c>
      <c r="L112">
        <v>1</v>
      </c>
      <c r="M112" s="6">
        <v>713</v>
      </c>
      <c r="N112" s="6">
        <v>1120</v>
      </c>
      <c r="O112" s="6">
        <f>Table1[[#This Row],[Unit_Price]]*Table1[[#This Row],[Order_Quantity]]</f>
        <v>1120</v>
      </c>
      <c r="P112" s="6">
        <f>Table1[[#This Row],[Unit_Cost]]*Table1[[#This Row],[Order_Quantity]]</f>
        <v>713</v>
      </c>
      <c r="Q112" s="4">
        <f>Table1[[#This Row],[total sales]]-Table1[[#This Row],[total cost]]</f>
        <v>407</v>
      </c>
      <c r="R112" s="6" t="s">
        <v>138</v>
      </c>
      <c r="S112" s="6" t="str">
        <f>_xlfn.CONCAT(Table1[[#This Row],[Sub_Category]],"-",Table1[[#This Row],[bike colour]])</f>
        <v>Mountain Bikes-black</v>
      </c>
    </row>
    <row r="113" spans="1:19" x14ac:dyDescent="0.3">
      <c r="A113" s="1">
        <v>44485</v>
      </c>
      <c r="B113">
        <v>16</v>
      </c>
      <c r="C113" t="s">
        <v>13</v>
      </c>
      <c r="D113">
        <v>2021</v>
      </c>
      <c r="E113">
        <v>38</v>
      </c>
      <c r="F113" t="s">
        <v>14</v>
      </c>
      <c r="G113" t="s">
        <v>120</v>
      </c>
      <c r="H113" t="s">
        <v>23</v>
      </c>
      <c r="I113" t="s">
        <v>24</v>
      </c>
      <c r="J113" t="s">
        <v>17</v>
      </c>
      <c r="K113" t="s">
        <v>37</v>
      </c>
      <c r="L113">
        <v>1</v>
      </c>
      <c r="M113" s="6">
        <v>713</v>
      </c>
      <c r="N113" s="6">
        <v>1120</v>
      </c>
      <c r="O113" s="6">
        <f>Table1[[#This Row],[Unit_Price]]*Table1[[#This Row],[Order_Quantity]]</f>
        <v>1120</v>
      </c>
      <c r="P113" s="6">
        <f>Table1[[#This Row],[Unit_Cost]]*Table1[[#This Row],[Order_Quantity]]</f>
        <v>713</v>
      </c>
      <c r="Q113" s="4">
        <f>Table1[[#This Row],[total sales]]-Table1[[#This Row],[total cost]]</f>
        <v>407</v>
      </c>
      <c r="R113" s="6" t="s">
        <v>137</v>
      </c>
      <c r="S113" s="6" t="str">
        <f>_xlfn.CONCAT(Table1[[#This Row],[Sub_Category]],"-",Table1[[#This Row],[bike colour]])</f>
        <v>Road Bikes-red</v>
      </c>
    </row>
    <row r="114" spans="1:19" x14ac:dyDescent="0.3">
      <c r="A114" s="1">
        <v>44485</v>
      </c>
      <c r="B114">
        <v>16</v>
      </c>
      <c r="C114" t="s">
        <v>13</v>
      </c>
      <c r="D114">
        <v>2021</v>
      </c>
      <c r="E114">
        <v>46</v>
      </c>
      <c r="F114" t="s">
        <v>14</v>
      </c>
      <c r="G114" t="s">
        <v>120</v>
      </c>
      <c r="H114" t="s">
        <v>42</v>
      </c>
      <c r="I114" t="s">
        <v>68</v>
      </c>
      <c r="J114" t="s">
        <v>17</v>
      </c>
      <c r="K114" t="s">
        <v>32</v>
      </c>
      <c r="L114">
        <v>1</v>
      </c>
      <c r="M114" s="6">
        <v>713</v>
      </c>
      <c r="N114" s="6">
        <v>1120</v>
      </c>
      <c r="O114" s="6">
        <f>Table1[[#This Row],[Unit_Price]]*Table1[[#This Row],[Order_Quantity]]</f>
        <v>1120</v>
      </c>
      <c r="P114" s="6">
        <f>Table1[[#This Row],[Unit_Cost]]*Table1[[#This Row],[Order_Quantity]]</f>
        <v>713</v>
      </c>
      <c r="Q114" s="4">
        <f>Table1[[#This Row],[total sales]]-Table1[[#This Row],[total cost]]</f>
        <v>407</v>
      </c>
      <c r="R114" s="6" t="s">
        <v>137</v>
      </c>
      <c r="S114" s="6" t="str">
        <f>_xlfn.CONCAT(Table1[[#This Row],[Sub_Category]],"-",Table1[[#This Row],[bike colour]])</f>
        <v>Road Bikes-red</v>
      </c>
    </row>
    <row r="115" spans="1:19" x14ac:dyDescent="0.3">
      <c r="A115" s="1">
        <v>44485</v>
      </c>
      <c r="B115">
        <v>16</v>
      </c>
      <c r="C115" t="s">
        <v>13</v>
      </c>
      <c r="D115">
        <v>2021</v>
      </c>
      <c r="E115">
        <v>50</v>
      </c>
      <c r="F115" t="s">
        <v>14</v>
      </c>
      <c r="G115" t="s">
        <v>122</v>
      </c>
      <c r="H115" t="s">
        <v>15</v>
      </c>
      <c r="I115" t="s">
        <v>16</v>
      </c>
      <c r="J115" t="s">
        <v>25</v>
      </c>
      <c r="K115" t="s">
        <v>61</v>
      </c>
      <c r="L115">
        <v>1</v>
      </c>
      <c r="M115" s="6">
        <v>713</v>
      </c>
      <c r="N115" s="6">
        <v>1120</v>
      </c>
      <c r="O115" s="6">
        <f>Table1[[#This Row],[Unit_Price]]*Table1[[#This Row],[Order_Quantity]]</f>
        <v>1120</v>
      </c>
      <c r="P115" s="6">
        <f>Table1[[#This Row],[Unit_Cost]]*Table1[[#This Row],[Order_Quantity]]</f>
        <v>713</v>
      </c>
      <c r="Q115" s="4">
        <f>Table1[[#This Row],[total sales]]-Table1[[#This Row],[total cost]]</f>
        <v>407</v>
      </c>
      <c r="R115" s="6" t="s">
        <v>138</v>
      </c>
      <c r="S115" s="6" t="str">
        <f>_xlfn.CONCAT(Table1[[#This Row],[Sub_Category]],"-",Table1[[#This Row],[bike colour]])</f>
        <v>Mountain Bikes-black</v>
      </c>
    </row>
    <row r="116" spans="1:19" x14ac:dyDescent="0.3">
      <c r="A116" s="1">
        <v>44486</v>
      </c>
      <c r="B116">
        <v>17</v>
      </c>
      <c r="C116" t="s">
        <v>13</v>
      </c>
      <c r="D116">
        <v>2021</v>
      </c>
      <c r="E116">
        <v>30</v>
      </c>
      <c r="F116" t="s">
        <v>19</v>
      </c>
      <c r="G116" t="s">
        <v>122</v>
      </c>
      <c r="H116" t="s">
        <v>50</v>
      </c>
      <c r="I116" t="s">
        <v>90</v>
      </c>
      <c r="J116" t="s">
        <v>17</v>
      </c>
      <c r="K116" t="s">
        <v>66</v>
      </c>
      <c r="L116">
        <v>4</v>
      </c>
      <c r="M116" s="6">
        <v>713</v>
      </c>
      <c r="N116" s="6">
        <v>1120</v>
      </c>
      <c r="O116" s="6">
        <f>Table1[[#This Row],[Unit_Price]]*Table1[[#This Row],[Order_Quantity]]</f>
        <v>4480</v>
      </c>
      <c r="P116" s="6">
        <f>Table1[[#This Row],[Unit_Cost]]*Table1[[#This Row],[Order_Quantity]]</f>
        <v>2852</v>
      </c>
      <c r="Q116" s="4">
        <f>Table1[[#This Row],[total sales]]-Table1[[#This Row],[total cost]]</f>
        <v>1628</v>
      </c>
      <c r="R116" s="6" t="s">
        <v>138</v>
      </c>
      <c r="S116" s="6" t="str">
        <f>_xlfn.CONCAT(Table1[[#This Row],[Sub_Category]],"-",Table1[[#This Row],[bike colour]])</f>
        <v>Road Bikes-black</v>
      </c>
    </row>
    <row r="117" spans="1:19" x14ac:dyDescent="0.3">
      <c r="A117" s="1">
        <v>44486</v>
      </c>
      <c r="B117">
        <v>17</v>
      </c>
      <c r="C117" t="s">
        <v>13</v>
      </c>
      <c r="D117">
        <v>2021</v>
      </c>
      <c r="E117">
        <v>45</v>
      </c>
      <c r="F117" t="s">
        <v>14</v>
      </c>
      <c r="G117" t="s">
        <v>120</v>
      </c>
      <c r="H117" t="s">
        <v>15</v>
      </c>
      <c r="I117" t="s">
        <v>47</v>
      </c>
      <c r="J117" t="s">
        <v>17</v>
      </c>
      <c r="K117" t="s">
        <v>57</v>
      </c>
      <c r="L117">
        <v>3</v>
      </c>
      <c r="M117" s="6">
        <v>713</v>
      </c>
      <c r="N117" s="6">
        <v>1120</v>
      </c>
      <c r="O117" s="6">
        <f>Table1[[#This Row],[Unit_Price]]*Table1[[#This Row],[Order_Quantity]]</f>
        <v>3360</v>
      </c>
      <c r="P117" s="6">
        <f>Table1[[#This Row],[Unit_Cost]]*Table1[[#This Row],[Order_Quantity]]</f>
        <v>2139</v>
      </c>
      <c r="Q117" s="4">
        <f>Table1[[#This Row],[total sales]]-Table1[[#This Row],[total cost]]</f>
        <v>1221</v>
      </c>
      <c r="R117" s="6" t="s">
        <v>138</v>
      </c>
      <c r="S117" s="6" t="str">
        <f>_xlfn.CONCAT(Table1[[#This Row],[Sub_Category]],"-",Table1[[#This Row],[bike colour]])</f>
        <v>Road Bikes-black</v>
      </c>
    </row>
    <row r="118" spans="1:19" x14ac:dyDescent="0.3">
      <c r="A118" s="1">
        <v>44486</v>
      </c>
      <c r="B118">
        <v>17</v>
      </c>
      <c r="C118" t="s">
        <v>13</v>
      </c>
      <c r="D118">
        <v>2021</v>
      </c>
      <c r="E118">
        <v>33</v>
      </c>
      <c r="F118" t="s">
        <v>19</v>
      </c>
      <c r="G118" t="s">
        <v>122</v>
      </c>
      <c r="H118" t="s">
        <v>42</v>
      </c>
      <c r="I118" t="s">
        <v>74</v>
      </c>
      <c r="J118" t="s">
        <v>17</v>
      </c>
      <c r="K118" t="s">
        <v>59</v>
      </c>
      <c r="L118">
        <v>2</v>
      </c>
      <c r="M118" s="6">
        <v>713</v>
      </c>
      <c r="N118" s="6">
        <v>1120</v>
      </c>
      <c r="O118" s="6">
        <f>Table1[[#This Row],[Unit_Price]]*Table1[[#This Row],[Order_Quantity]]</f>
        <v>2240</v>
      </c>
      <c r="P118" s="6">
        <f>Table1[[#This Row],[Unit_Cost]]*Table1[[#This Row],[Order_Quantity]]</f>
        <v>1426</v>
      </c>
      <c r="Q118" s="4">
        <f>Table1[[#This Row],[total sales]]-Table1[[#This Row],[total cost]]</f>
        <v>814</v>
      </c>
      <c r="R118" s="6" t="s">
        <v>137</v>
      </c>
      <c r="S118" s="6" t="str">
        <f>_xlfn.CONCAT(Table1[[#This Row],[Sub_Category]],"-",Table1[[#This Row],[bike colour]])</f>
        <v>Road Bikes-red</v>
      </c>
    </row>
    <row r="119" spans="1:19" x14ac:dyDescent="0.3">
      <c r="A119" s="1">
        <v>44486</v>
      </c>
      <c r="B119">
        <v>17</v>
      </c>
      <c r="C119" t="s">
        <v>13</v>
      </c>
      <c r="D119">
        <v>2021</v>
      </c>
      <c r="E119">
        <v>26</v>
      </c>
      <c r="F119" t="s">
        <v>19</v>
      </c>
      <c r="G119" t="s">
        <v>120</v>
      </c>
      <c r="H119" t="s">
        <v>42</v>
      </c>
      <c r="I119" t="s">
        <v>86</v>
      </c>
      <c r="J119" t="s">
        <v>17</v>
      </c>
      <c r="K119" t="s">
        <v>46</v>
      </c>
      <c r="L119">
        <v>1</v>
      </c>
      <c r="M119" s="6">
        <v>713</v>
      </c>
      <c r="N119" s="6">
        <v>1120</v>
      </c>
      <c r="O119" s="6">
        <f>Table1[[#This Row],[Unit_Price]]*Table1[[#This Row],[Order_Quantity]]</f>
        <v>1120</v>
      </c>
      <c r="P119" s="6">
        <f>Table1[[#This Row],[Unit_Cost]]*Table1[[#This Row],[Order_Quantity]]</f>
        <v>713</v>
      </c>
      <c r="Q119" s="4">
        <f>Table1[[#This Row],[total sales]]-Table1[[#This Row],[total cost]]</f>
        <v>407</v>
      </c>
      <c r="R119" s="6" t="s">
        <v>137</v>
      </c>
      <c r="S119" s="6" t="str">
        <f>_xlfn.CONCAT(Table1[[#This Row],[Sub_Category]],"-",Table1[[#This Row],[bike colour]])</f>
        <v>Road Bikes-red</v>
      </c>
    </row>
    <row r="120" spans="1:19" x14ac:dyDescent="0.3">
      <c r="A120" s="1">
        <v>44486</v>
      </c>
      <c r="B120">
        <v>17</v>
      </c>
      <c r="C120" t="s">
        <v>13</v>
      </c>
      <c r="D120">
        <v>2021</v>
      </c>
      <c r="E120">
        <v>27</v>
      </c>
      <c r="F120" t="s">
        <v>19</v>
      </c>
      <c r="G120" t="s">
        <v>122</v>
      </c>
      <c r="H120" t="s">
        <v>15</v>
      </c>
      <c r="I120" t="s">
        <v>16</v>
      </c>
      <c r="J120" t="s">
        <v>25</v>
      </c>
      <c r="K120" t="s">
        <v>31</v>
      </c>
      <c r="L120">
        <v>1</v>
      </c>
      <c r="M120" s="6">
        <v>713</v>
      </c>
      <c r="N120" s="6">
        <v>1120</v>
      </c>
      <c r="O120" s="6">
        <f>Table1[[#This Row],[Unit_Price]]*Table1[[#This Row],[Order_Quantity]]</f>
        <v>1120</v>
      </c>
      <c r="P120" s="6">
        <f>Table1[[#This Row],[Unit_Cost]]*Table1[[#This Row],[Order_Quantity]]</f>
        <v>713</v>
      </c>
      <c r="Q120" s="4">
        <f>Table1[[#This Row],[total sales]]-Table1[[#This Row],[total cost]]</f>
        <v>407</v>
      </c>
      <c r="R120" s="6" t="s">
        <v>139</v>
      </c>
      <c r="S120" s="6" t="str">
        <f>_xlfn.CONCAT(Table1[[#This Row],[Sub_Category]],"-",Table1[[#This Row],[bike colour]])</f>
        <v>Mountain Bikes-silver</v>
      </c>
    </row>
    <row r="121" spans="1:19" x14ac:dyDescent="0.3">
      <c r="A121" s="1">
        <v>44486</v>
      </c>
      <c r="B121">
        <v>17</v>
      </c>
      <c r="C121" t="s">
        <v>13</v>
      </c>
      <c r="D121">
        <v>2021</v>
      </c>
      <c r="E121">
        <v>46</v>
      </c>
      <c r="F121" t="s">
        <v>14</v>
      </c>
      <c r="G121" t="s">
        <v>120</v>
      </c>
      <c r="H121" t="s">
        <v>15</v>
      </c>
      <c r="I121" t="s">
        <v>16</v>
      </c>
      <c r="J121" t="s">
        <v>17</v>
      </c>
      <c r="K121" t="s">
        <v>64</v>
      </c>
      <c r="L121">
        <v>1</v>
      </c>
      <c r="M121" s="6">
        <v>713</v>
      </c>
      <c r="N121" s="6">
        <v>1120</v>
      </c>
      <c r="O121" s="6">
        <f>Table1[[#This Row],[Unit_Price]]*Table1[[#This Row],[Order_Quantity]]</f>
        <v>1120</v>
      </c>
      <c r="P121" s="6">
        <f>Table1[[#This Row],[Unit_Cost]]*Table1[[#This Row],[Order_Quantity]]</f>
        <v>713</v>
      </c>
      <c r="Q121" s="4">
        <f>Table1[[#This Row],[total sales]]-Table1[[#This Row],[total cost]]</f>
        <v>407</v>
      </c>
      <c r="R121" s="6" t="s">
        <v>136</v>
      </c>
      <c r="S121" s="6" t="str">
        <f>_xlfn.CONCAT(Table1[[#This Row],[Sub_Category]],"-",Table1[[#This Row],[bike colour]])</f>
        <v>Road Bikes-yellow</v>
      </c>
    </row>
    <row r="122" spans="1:19" x14ac:dyDescent="0.3">
      <c r="A122" s="1">
        <v>44487</v>
      </c>
      <c r="B122">
        <v>18</v>
      </c>
      <c r="C122" t="s">
        <v>13</v>
      </c>
      <c r="D122">
        <v>2021</v>
      </c>
      <c r="E122">
        <v>51</v>
      </c>
      <c r="F122" t="s">
        <v>14</v>
      </c>
      <c r="G122" t="s">
        <v>122</v>
      </c>
      <c r="H122" t="s">
        <v>15</v>
      </c>
      <c r="I122" t="s">
        <v>82</v>
      </c>
      <c r="J122" t="s">
        <v>25</v>
      </c>
      <c r="K122" t="s">
        <v>26</v>
      </c>
      <c r="L122">
        <v>4</v>
      </c>
      <c r="M122" s="6">
        <v>713</v>
      </c>
      <c r="N122" s="6">
        <v>1120</v>
      </c>
      <c r="O122" s="6">
        <f>Table1[[#This Row],[Unit_Price]]*Table1[[#This Row],[Order_Quantity]]</f>
        <v>4480</v>
      </c>
      <c r="P122" s="6">
        <f>Table1[[#This Row],[Unit_Cost]]*Table1[[#This Row],[Order_Quantity]]</f>
        <v>2852</v>
      </c>
      <c r="Q122" s="4">
        <f>Table1[[#This Row],[total sales]]-Table1[[#This Row],[total cost]]</f>
        <v>1628</v>
      </c>
      <c r="R122" s="6" t="s">
        <v>138</v>
      </c>
      <c r="S122" s="6" t="str">
        <f>_xlfn.CONCAT(Table1[[#This Row],[Sub_Category]],"-",Table1[[#This Row],[bike colour]])</f>
        <v>Mountain Bikes-black</v>
      </c>
    </row>
    <row r="123" spans="1:19" x14ac:dyDescent="0.3">
      <c r="A123" s="1">
        <v>44487</v>
      </c>
      <c r="B123">
        <v>18</v>
      </c>
      <c r="C123" t="s">
        <v>13</v>
      </c>
      <c r="D123">
        <v>2021</v>
      </c>
      <c r="E123">
        <v>27</v>
      </c>
      <c r="F123" t="s">
        <v>19</v>
      </c>
      <c r="G123" t="s">
        <v>122</v>
      </c>
      <c r="H123" t="s">
        <v>27</v>
      </c>
      <c r="I123" t="s">
        <v>33</v>
      </c>
      <c r="J123" t="s">
        <v>25</v>
      </c>
      <c r="K123" t="s">
        <v>26</v>
      </c>
      <c r="L123">
        <v>1</v>
      </c>
      <c r="M123" s="6">
        <v>713</v>
      </c>
      <c r="N123" s="6">
        <v>1120</v>
      </c>
      <c r="O123" s="6">
        <f>Table1[[#This Row],[Unit_Price]]*Table1[[#This Row],[Order_Quantity]]</f>
        <v>1120</v>
      </c>
      <c r="P123" s="6">
        <f>Table1[[#This Row],[Unit_Cost]]*Table1[[#This Row],[Order_Quantity]]</f>
        <v>713</v>
      </c>
      <c r="Q123" s="4">
        <f>Table1[[#This Row],[total sales]]-Table1[[#This Row],[total cost]]</f>
        <v>407</v>
      </c>
      <c r="R123" s="6" t="s">
        <v>138</v>
      </c>
      <c r="S123" s="6" t="str">
        <f>_xlfn.CONCAT(Table1[[#This Row],[Sub_Category]],"-",Table1[[#This Row],[bike colour]])</f>
        <v>Mountain Bikes-black</v>
      </c>
    </row>
    <row r="124" spans="1:19" x14ac:dyDescent="0.3">
      <c r="A124" s="1">
        <v>44487</v>
      </c>
      <c r="B124">
        <v>18</v>
      </c>
      <c r="C124" t="s">
        <v>13</v>
      </c>
      <c r="D124">
        <v>2021</v>
      </c>
      <c r="E124">
        <v>28</v>
      </c>
      <c r="F124" t="s">
        <v>19</v>
      </c>
      <c r="G124" t="s">
        <v>120</v>
      </c>
      <c r="H124" t="s">
        <v>27</v>
      </c>
      <c r="I124" t="s">
        <v>45</v>
      </c>
      <c r="J124" t="s">
        <v>25</v>
      </c>
      <c r="K124" t="s">
        <v>34</v>
      </c>
      <c r="L124">
        <v>1</v>
      </c>
      <c r="M124" s="6">
        <v>713</v>
      </c>
      <c r="N124" s="6">
        <v>1120</v>
      </c>
      <c r="O124" s="6">
        <f>Table1[[#This Row],[Unit_Price]]*Table1[[#This Row],[Order_Quantity]]</f>
        <v>1120</v>
      </c>
      <c r="P124" s="6">
        <f>Table1[[#This Row],[Unit_Cost]]*Table1[[#This Row],[Order_Quantity]]</f>
        <v>713</v>
      </c>
      <c r="Q124" s="4">
        <f>Table1[[#This Row],[total sales]]-Table1[[#This Row],[total cost]]</f>
        <v>407</v>
      </c>
      <c r="R124" s="6" t="s">
        <v>138</v>
      </c>
      <c r="S124" s="6" t="str">
        <f>_xlfn.CONCAT(Table1[[#This Row],[Sub_Category]],"-",Table1[[#This Row],[bike colour]])</f>
        <v>Mountain Bikes-black</v>
      </c>
    </row>
    <row r="125" spans="1:19" x14ac:dyDescent="0.3">
      <c r="A125" s="1">
        <v>44487</v>
      </c>
      <c r="B125">
        <v>18</v>
      </c>
      <c r="C125" t="s">
        <v>13</v>
      </c>
      <c r="D125">
        <v>2021</v>
      </c>
      <c r="E125">
        <v>28</v>
      </c>
      <c r="F125" t="s">
        <v>19</v>
      </c>
      <c r="G125" t="s">
        <v>122</v>
      </c>
      <c r="H125" t="s">
        <v>15</v>
      </c>
      <c r="I125" t="s">
        <v>16</v>
      </c>
      <c r="J125" t="s">
        <v>25</v>
      </c>
      <c r="K125" t="s">
        <v>26</v>
      </c>
      <c r="L125">
        <v>1</v>
      </c>
      <c r="M125" s="6">
        <v>713</v>
      </c>
      <c r="N125" s="6">
        <v>1120</v>
      </c>
      <c r="O125" s="6">
        <f>Table1[[#This Row],[Unit_Price]]*Table1[[#This Row],[Order_Quantity]]</f>
        <v>1120</v>
      </c>
      <c r="P125" s="6">
        <f>Table1[[#This Row],[Unit_Cost]]*Table1[[#This Row],[Order_Quantity]]</f>
        <v>713</v>
      </c>
      <c r="Q125" s="4">
        <f>Table1[[#This Row],[total sales]]-Table1[[#This Row],[total cost]]</f>
        <v>407</v>
      </c>
      <c r="R125" s="6" t="s">
        <v>138</v>
      </c>
      <c r="S125" s="6" t="str">
        <f>_xlfn.CONCAT(Table1[[#This Row],[Sub_Category]],"-",Table1[[#This Row],[bike colour]])</f>
        <v>Mountain Bikes-black</v>
      </c>
    </row>
    <row r="126" spans="1:19" x14ac:dyDescent="0.3">
      <c r="A126" s="1">
        <v>44487</v>
      </c>
      <c r="B126">
        <v>18</v>
      </c>
      <c r="C126" t="s">
        <v>13</v>
      </c>
      <c r="D126">
        <v>2021</v>
      </c>
      <c r="E126">
        <v>30</v>
      </c>
      <c r="F126" t="s">
        <v>19</v>
      </c>
      <c r="G126" t="s">
        <v>120</v>
      </c>
      <c r="H126" t="s">
        <v>15</v>
      </c>
      <c r="I126" t="s">
        <v>47</v>
      </c>
      <c r="J126" t="s">
        <v>25</v>
      </c>
      <c r="K126" t="s">
        <v>31</v>
      </c>
      <c r="L126">
        <v>1</v>
      </c>
      <c r="M126" s="6">
        <v>713</v>
      </c>
      <c r="N126" s="6">
        <v>1120</v>
      </c>
      <c r="O126" s="6">
        <f>Table1[[#This Row],[Unit_Price]]*Table1[[#This Row],[Order_Quantity]]</f>
        <v>1120</v>
      </c>
      <c r="P126" s="6">
        <f>Table1[[#This Row],[Unit_Cost]]*Table1[[#This Row],[Order_Quantity]]</f>
        <v>713</v>
      </c>
      <c r="Q126" s="4">
        <f>Table1[[#This Row],[total sales]]-Table1[[#This Row],[total cost]]</f>
        <v>407</v>
      </c>
      <c r="R126" s="6" t="s">
        <v>139</v>
      </c>
      <c r="S126" s="6" t="str">
        <f>_xlfn.CONCAT(Table1[[#This Row],[Sub_Category]],"-",Table1[[#This Row],[bike colour]])</f>
        <v>Mountain Bikes-silver</v>
      </c>
    </row>
    <row r="127" spans="1:19" x14ac:dyDescent="0.3">
      <c r="A127" s="1">
        <v>44487</v>
      </c>
      <c r="B127">
        <v>18</v>
      </c>
      <c r="C127" t="s">
        <v>13</v>
      </c>
      <c r="D127">
        <v>2021</v>
      </c>
      <c r="E127">
        <v>46</v>
      </c>
      <c r="F127" t="s">
        <v>14</v>
      </c>
      <c r="G127" t="s">
        <v>120</v>
      </c>
      <c r="H127" t="s">
        <v>15</v>
      </c>
      <c r="I127" t="s">
        <v>16</v>
      </c>
      <c r="J127" t="s">
        <v>17</v>
      </c>
      <c r="K127" t="s">
        <v>64</v>
      </c>
      <c r="L127">
        <v>1</v>
      </c>
      <c r="M127" s="6">
        <v>713</v>
      </c>
      <c r="N127" s="6">
        <v>1120</v>
      </c>
      <c r="O127" s="6">
        <f>Table1[[#This Row],[Unit_Price]]*Table1[[#This Row],[Order_Quantity]]</f>
        <v>1120</v>
      </c>
      <c r="P127" s="6">
        <f>Table1[[#This Row],[Unit_Cost]]*Table1[[#This Row],[Order_Quantity]]</f>
        <v>713</v>
      </c>
      <c r="Q127" s="4">
        <f>Table1[[#This Row],[total sales]]-Table1[[#This Row],[total cost]]</f>
        <v>407</v>
      </c>
      <c r="R127" s="6" t="s">
        <v>136</v>
      </c>
      <c r="S127" s="6" t="str">
        <f>_xlfn.CONCAT(Table1[[#This Row],[Sub_Category]],"-",Table1[[#This Row],[bike colour]])</f>
        <v>Road Bikes-yellow</v>
      </c>
    </row>
    <row r="128" spans="1:19" x14ac:dyDescent="0.3">
      <c r="A128" s="1">
        <v>44487</v>
      </c>
      <c r="B128">
        <v>18</v>
      </c>
      <c r="C128" t="s">
        <v>13</v>
      </c>
      <c r="D128">
        <v>2021</v>
      </c>
      <c r="E128">
        <v>50</v>
      </c>
      <c r="F128" t="s">
        <v>14</v>
      </c>
      <c r="G128" t="s">
        <v>122</v>
      </c>
      <c r="H128" t="s">
        <v>27</v>
      </c>
      <c r="I128" t="s">
        <v>45</v>
      </c>
      <c r="J128" t="s">
        <v>25</v>
      </c>
      <c r="K128" t="s">
        <v>77</v>
      </c>
      <c r="L128">
        <v>1</v>
      </c>
      <c r="M128" s="6">
        <v>713</v>
      </c>
      <c r="N128" s="6">
        <v>1120</v>
      </c>
      <c r="O128" s="6">
        <f>Table1[[#This Row],[Unit_Price]]*Table1[[#This Row],[Order_Quantity]]</f>
        <v>1120</v>
      </c>
      <c r="P128" s="6">
        <f>Table1[[#This Row],[Unit_Cost]]*Table1[[#This Row],[Order_Quantity]]</f>
        <v>713</v>
      </c>
      <c r="Q128" s="4">
        <f>Table1[[#This Row],[total sales]]-Table1[[#This Row],[total cost]]</f>
        <v>407</v>
      </c>
      <c r="R128" s="6" t="s">
        <v>139</v>
      </c>
      <c r="S128" s="6" t="str">
        <f>_xlfn.CONCAT(Table1[[#This Row],[Sub_Category]],"-",Table1[[#This Row],[bike colour]])</f>
        <v>Mountain Bikes-silver</v>
      </c>
    </row>
    <row r="129" spans="1:19" x14ac:dyDescent="0.3">
      <c r="A129" s="1">
        <v>44488</v>
      </c>
      <c r="B129">
        <v>19</v>
      </c>
      <c r="C129" t="s">
        <v>13</v>
      </c>
      <c r="D129">
        <v>2021</v>
      </c>
      <c r="E129">
        <v>46</v>
      </c>
      <c r="F129" t="s">
        <v>14</v>
      </c>
      <c r="G129" t="s">
        <v>122</v>
      </c>
      <c r="H129" t="s">
        <v>23</v>
      </c>
      <c r="I129" t="s">
        <v>24</v>
      </c>
      <c r="J129" t="s">
        <v>17</v>
      </c>
      <c r="K129" t="s">
        <v>73</v>
      </c>
      <c r="L129">
        <v>4</v>
      </c>
      <c r="M129" s="6">
        <v>713</v>
      </c>
      <c r="N129" s="6">
        <v>1120</v>
      </c>
      <c r="O129" s="6">
        <f>Table1[[#This Row],[Unit_Price]]*Table1[[#This Row],[Order_Quantity]]</f>
        <v>4480</v>
      </c>
      <c r="P129" s="6">
        <f>Table1[[#This Row],[Unit_Cost]]*Table1[[#This Row],[Order_Quantity]]</f>
        <v>2852</v>
      </c>
      <c r="Q129" s="4">
        <f>Table1[[#This Row],[total sales]]-Table1[[#This Row],[total cost]]</f>
        <v>1628</v>
      </c>
      <c r="R129" s="6" t="s">
        <v>138</v>
      </c>
      <c r="S129" s="6" t="str">
        <f>_xlfn.CONCAT(Table1[[#This Row],[Sub_Category]],"-",Table1[[#This Row],[bike colour]])</f>
        <v>Road Bikes-black</v>
      </c>
    </row>
    <row r="130" spans="1:19" x14ac:dyDescent="0.3">
      <c r="A130" s="1">
        <v>44488</v>
      </c>
      <c r="B130">
        <v>19</v>
      </c>
      <c r="C130" t="s">
        <v>13</v>
      </c>
      <c r="D130">
        <v>2021</v>
      </c>
      <c r="E130">
        <v>28</v>
      </c>
      <c r="F130" t="s">
        <v>19</v>
      </c>
      <c r="G130" t="s">
        <v>120</v>
      </c>
      <c r="H130" t="s">
        <v>27</v>
      </c>
      <c r="I130" t="s">
        <v>28</v>
      </c>
      <c r="J130" t="s">
        <v>25</v>
      </c>
      <c r="K130" t="s">
        <v>26</v>
      </c>
      <c r="L130">
        <v>3</v>
      </c>
      <c r="M130" s="6">
        <v>713</v>
      </c>
      <c r="N130" s="6">
        <v>1120</v>
      </c>
      <c r="O130" s="6">
        <f>Table1[[#This Row],[Unit_Price]]*Table1[[#This Row],[Order_Quantity]]</f>
        <v>3360</v>
      </c>
      <c r="P130" s="6">
        <f>Table1[[#This Row],[Unit_Cost]]*Table1[[#This Row],[Order_Quantity]]</f>
        <v>2139</v>
      </c>
      <c r="Q130" s="4">
        <f>Table1[[#This Row],[total sales]]-Table1[[#This Row],[total cost]]</f>
        <v>1221</v>
      </c>
      <c r="R130" s="6" t="s">
        <v>138</v>
      </c>
      <c r="S130" s="6" t="str">
        <f>_xlfn.CONCAT(Table1[[#This Row],[Sub_Category]],"-",Table1[[#This Row],[bike colour]])</f>
        <v>Mountain Bikes-black</v>
      </c>
    </row>
    <row r="131" spans="1:19" x14ac:dyDescent="0.3">
      <c r="A131" s="1">
        <v>44488</v>
      </c>
      <c r="B131">
        <v>19</v>
      </c>
      <c r="C131" t="s">
        <v>13</v>
      </c>
      <c r="D131">
        <v>2021</v>
      </c>
      <c r="E131">
        <v>29</v>
      </c>
      <c r="F131" t="s">
        <v>19</v>
      </c>
      <c r="G131" t="s">
        <v>122</v>
      </c>
      <c r="H131" t="s">
        <v>27</v>
      </c>
      <c r="I131" t="s">
        <v>33</v>
      </c>
      <c r="J131" t="s">
        <v>25</v>
      </c>
      <c r="K131" t="s">
        <v>61</v>
      </c>
      <c r="L131">
        <v>3</v>
      </c>
      <c r="M131" s="6">
        <v>713</v>
      </c>
      <c r="N131" s="6">
        <v>1120</v>
      </c>
      <c r="O131" s="6">
        <f>Table1[[#This Row],[Unit_Price]]*Table1[[#This Row],[Order_Quantity]]</f>
        <v>3360</v>
      </c>
      <c r="P131" s="6">
        <f>Table1[[#This Row],[Unit_Cost]]*Table1[[#This Row],[Order_Quantity]]</f>
        <v>2139</v>
      </c>
      <c r="Q131" s="4">
        <f>Table1[[#This Row],[total sales]]-Table1[[#This Row],[total cost]]</f>
        <v>1221</v>
      </c>
      <c r="R131" s="6" t="s">
        <v>138</v>
      </c>
      <c r="S131" s="6" t="str">
        <f>_xlfn.CONCAT(Table1[[#This Row],[Sub_Category]],"-",Table1[[#This Row],[bike colour]])</f>
        <v>Mountain Bikes-black</v>
      </c>
    </row>
    <row r="132" spans="1:19" x14ac:dyDescent="0.3">
      <c r="A132" s="1">
        <v>44488</v>
      </c>
      <c r="B132">
        <v>19</v>
      </c>
      <c r="C132" t="s">
        <v>13</v>
      </c>
      <c r="D132">
        <v>2021</v>
      </c>
      <c r="E132">
        <v>56</v>
      </c>
      <c r="F132" t="s">
        <v>14</v>
      </c>
      <c r="G132" t="s">
        <v>122</v>
      </c>
      <c r="H132" t="s">
        <v>27</v>
      </c>
      <c r="I132" t="s">
        <v>33</v>
      </c>
      <c r="J132" t="s">
        <v>17</v>
      </c>
      <c r="K132" t="s">
        <v>91</v>
      </c>
      <c r="L132">
        <v>3</v>
      </c>
      <c r="M132" s="6">
        <v>713</v>
      </c>
      <c r="N132" s="6">
        <v>1120</v>
      </c>
      <c r="O132" s="6">
        <f>Table1[[#This Row],[Unit_Price]]*Table1[[#This Row],[Order_Quantity]]</f>
        <v>3360</v>
      </c>
      <c r="P132" s="6">
        <f>Table1[[#This Row],[Unit_Cost]]*Table1[[#This Row],[Order_Quantity]]</f>
        <v>2139</v>
      </c>
      <c r="Q132" s="4">
        <f>Table1[[#This Row],[total sales]]-Table1[[#This Row],[total cost]]</f>
        <v>1221</v>
      </c>
      <c r="R132" s="6" t="s">
        <v>136</v>
      </c>
      <c r="S132" s="6" t="str">
        <f>_xlfn.CONCAT(Table1[[#This Row],[Sub_Category]],"-",Table1[[#This Row],[bike colour]])</f>
        <v>Road Bikes-yellow</v>
      </c>
    </row>
    <row r="133" spans="1:19" x14ac:dyDescent="0.3">
      <c r="A133" s="1">
        <v>44488</v>
      </c>
      <c r="B133">
        <v>19</v>
      </c>
      <c r="C133" t="s">
        <v>13</v>
      </c>
      <c r="D133">
        <v>2021</v>
      </c>
      <c r="E133">
        <v>26</v>
      </c>
      <c r="F133" t="s">
        <v>19</v>
      </c>
      <c r="G133" t="s">
        <v>122</v>
      </c>
      <c r="H133" t="s">
        <v>27</v>
      </c>
      <c r="I133" t="s">
        <v>33</v>
      </c>
      <c r="J133" t="s">
        <v>25</v>
      </c>
      <c r="K133" t="s">
        <v>92</v>
      </c>
      <c r="L133">
        <v>2</v>
      </c>
      <c r="M133" s="6">
        <v>713</v>
      </c>
      <c r="N133" s="6">
        <v>1120</v>
      </c>
      <c r="O133" s="6">
        <f>Table1[[#This Row],[Unit_Price]]*Table1[[#This Row],[Order_Quantity]]</f>
        <v>2240</v>
      </c>
      <c r="P133" s="6">
        <f>Table1[[#This Row],[Unit_Cost]]*Table1[[#This Row],[Order_Quantity]]</f>
        <v>1426</v>
      </c>
      <c r="Q133" s="4">
        <f>Table1[[#This Row],[total sales]]-Table1[[#This Row],[total cost]]</f>
        <v>814</v>
      </c>
      <c r="R133" s="6" t="s">
        <v>139</v>
      </c>
      <c r="S133" s="6" t="str">
        <f>_xlfn.CONCAT(Table1[[#This Row],[Sub_Category]],"-",Table1[[#This Row],[bike colour]])</f>
        <v>Mountain Bikes-silver</v>
      </c>
    </row>
    <row r="134" spans="1:19" x14ac:dyDescent="0.3">
      <c r="A134" s="1">
        <v>44488</v>
      </c>
      <c r="B134">
        <v>19</v>
      </c>
      <c r="C134" t="s">
        <v>13</v>
      </c>
      <c r="D134">
        <v>2021</v>
      </c>
      <c r="E134">
        <v>41</v>
      </c>
      <c r="F134" t="s">
        <v>14</v>
      </c>
      <c r="G134" t="s">
        <v>120</v>
      </c>
      <c r="H134" t="s">
        <v>20</v>
      </c>
      <c r="I134" t="s">
        <v>21</v>
      </c>
      <c r="J134" t="s">
        <v>25</v>
      </c>
      <c r="K134" t="s">
        <v>26</v>
      </c>
      <c r="L134">
        <v>2</v>
      </c>
      <c r="M134" s="6">
        <v>713</v>
      </c>
      <c r="N134" s="6">
        <v>1120</v>
      </c>
      <c r="O134" s="6">
        <f>Table1[[#This Row],[Unit_Price]]*Table1[[#This Row],[Order_Quantity]]</f>
        <v>2240</v>
      </c>
      <c r="P134" s="6">
        <f>Table1[[#This Row],[Unit_Cost]]*Table1[[#This Row],[Order_Quantity]]</f>
        <v>1426</v>
      </c>
      <c r="Q134" s="4">
        <f>Table1[[#This Row],[total sales]]-Table1[[#This Row],[total cost]]</f>
        <v>814</v>
      </c>
      <c r="R134" s="6" t="s">
        <v>138</v>
      </c>
      <c r="S134" s="6" t="str">
        <f>_xlfn.CONCAT(Table1[[#This Row],[Sub_Category]],"-",Table1[[#This Row],[bike colour]])</f>
        <v>Mountain Bikes-black</v>
      </c>
    </row>
    <row r="135" spans="1:19" x14ac:dyDescent="0.3">
      <c r="A135" s="1">
        <v>44488</v>
      </c>
      <c r="B135">
        <v>19</v>
      </c>
      <c r="C135" t="s">
        <v>13</v>
      </c>
      <c r="D135">
        <v>2021</v>
      </c>
      <c r="E135">
        <v>45</v>
      </c>
      <c r="F135" t="s">
        <v>14</v>
      </c>
      <c r="G135" t="s">
        <v>122</v>
      </c>
      <c r="H135" t="s">
        <v>15</v>
      </c>
      <c r="I135" t="s">
        <v>47</v>
      </c>
      <c r="J135" t="s">
        <v>17</v>
      </c>
      <c r="K135" t="s">
        <v>35</v>
      </c>
      <c r="L135">
        <v>2</v>
      </c>
      <c r="M135" s="6">
        <v>713</v>
      </c>
      <c r="N135" s="6">
        <v>1120</v>
      </c>
      <c r="O135" s="6">
        <f>Table1[[#This Row],[Unit_Price]]*Table1[[#This Row],[Order_Quantity]]</f>
        <v>2240</v>
      </c>
      <c r="P135" s="6">
        <f>Table1[[#This Row],[Unit_Cost]]*Table1[[#This Row],[Order_Quantity]]</f>
        <v>1426</v>
      </c>
      <c r="Q135" s="4">
        <f>Table1[[#This Row],[total sales]]-Table1[[#This Row],[total cost]]</f>
        <v>814</v>
      </c>
      <c r="R135" s="6" t="s">
        <v>137</v>
      </c>
      <c r="S135" s="6" t="str">
        <f>_xlfn.CONCAT(Table1[[#This Row],[Sub_Category]],"-",Table1[[#This Row],[bike colour]])</f>
        <v>Road Bikes-red</v>
      </c>
    </row>
    <row r="136" spans="1:19" x14ac:dyDescent="0.3">
      <c r="A136" s="1">
        <v>44488</v>
      </c>
      <c r="B136">
        <v>19</v>
      </c>
      <c r="C136" t="s">
        <v>13</v>
      </c>
      <c r="D136">
        <v>2021</v>
      </c>
      <c r="E136">
        <v>29</v>
      </c>
      <c r="F136" t="s">
        <v>19</v>
      </c>
      <c r="G136" t="s">
        <v>122</v>
      </c>
      <c r="H136" t="s">
        <v>50</v>
      </c>
      <c r="I136" t="s">
        <v>51</v>
      </c>
      <c r="J136" t="s">
        <v>25</v>
      </c>
      <c r="K136" t="s">
        <v>61</v>
      </c>
      <c r="L136">
        <v>1</v>
      </c>
      <c r="M136" s="6">
        <v>713</v>
      </c>
      <c r="N136" s="6">
        <v>1120</v>
      </c>
      <c r="O136" s="6">
        <f>Table1[[#This Row],[Unit_Price]]*Table1[[#This Row],[Order_Quantity]]</f>
        <v>1120</v>
      </c>
      <c r="P136" s="6">
        <f>Table1[[#This Row],[Unit_Cost]]*Table1[[#This Row],[Order_Quantity]]</f>
        <v>713</v>
      </c>
      <c r="Q136" s="4">
        <f>Table1[[#This Row],[total sales]]-Table1[[#This Row],[total cost]]</f>
        <v>407</v>
      </c>
      <c r="R136" s="6" t="s">
        <v>138</v>
      </c>
      <c r="S136" s="6" t="str">
        <f>_xlfn.CONCAT(Table1[[#This Row],[Sub_Category]],"-",Table1[[#This Row],[bike colour]])</f>
        <v>Mountain Bikes-black</v>
      </c>
    </row>
    <row r="137" spans="1:19" x14ac:dyDescent="0.3">
      <c r="A137" s="1">
        <v>44488</v>
      </c>
      <c r="B137">
        <v>19</v>
      </c>
      <c r="C137" t="s">
        <v>13</v>
      </c>
      <c r="D137">
        <v>2021</v>
      </c>
      <c r="E137">
        <v>31</v>
      </c>
      <c r="F137" t="s">
        <v>19</v>
      </c>
      <c r="G137" t="s">
        <v>120</v>
      </c>
      <c r="H137" t="s">
        <v>15</v>
      </c>
      <c r="I137" t="s">
        <v>47</v>
      </c>
      <c r="J137" t="s">
        <v>25</v>
      </c>
      <c r="K137" t="s">
        <v>31</v>
      </c>
      <c r="L137">
        <v>1</v>
      </c>
      <c r="M137" s="6">
        <v>713</v>
      </c>
      <c r="N137" s="6">
        <v>1120</v>
      </c>
      <c r="O137" s="6">
        <f>Table1[[#This Row],[Unit_Price]]*Table1[[#This Row],[Order_Quantity]]</f>
        <v>1120</v>
      </c>
      <c r="P137" s="6">
        <f>Table1[[#This Row],[Unit_Cost]]*Table1[[#This Row],[Order_Quantity]]</f>
        <v>713</v>
      </c>
      <c r="Q137" s="4">
        <f>Table1[[#This Row],[total sales]]-Table1[[#This Row],[total cost]]</f>
        <v>407</v>
      </c>
      <c r="R137" s="6" t="s">
        <v>139</v>
      </c>
      <c r="S137" s="6" t="str">
        <f>_xlfn.CONCAT(Table1[[#This Row],[Sub_Category]],"-",Table1[[#This Row],[bike colour]])</f>
        <v>Mountain Bikes-silver</v>
      </c>
    </row>
    <row r="138" spans="1:19" x14ac:dyDescent="0.3">
      <c r="A138" s="1">
        <v>44488</v>
      </c>
      <c r="B138">
        <v>19</v>
      </c>
      <c r="C138" t="s">
        <v>13</v>
      </c>
      <c r="D138">
        <v>2021</v>
      </c>
      <c r="E138">
        <v>31</v>
      </c>
      <c r="F138" t="s">
        <v>19</v>
      </c>
      <c r="G138" t="s">
        <v>122</v>
      </c>
      <c r="H138" t="s">
        <v>27</v>
      </c>
      <c r="I138" t="s">
        <v>45</v>
      </c>
      <c r="J138" t="s">
        <v>17</v>
      </c>
      <c r="K138" t="s">
        <v>91</v>
      </c>
      <c r="L138">
        <v>1</v>
      </c>
      <c r="M138" s="6">
        <v>713</v>
      </c>
      <c r="N138" s="6">
        <v>1120</v>
      </c>
      <c r="O138" s="6">
        <f>Table1[[#This Row],[Unit_Price]]*Table1[[#This Row],[Order_Quantity]]</f>
        <v>1120</v>
      </c>
      <c r="P138" s="6">
        <f>Table1[[#This Row],[Unit_Cost]]*Table1[[#This Row],[Order_Quantity]]</f>
        <v>713</v>
      </c>
      <c r="Q138" s="4">
        <f>Table1[[#This Row],[total sales]]-Table1[[#This Row],[total cost]]</f>
        <v>407</v>
      </c>
      <c r="R138" s="6" t="s">
        <v>136</v>
      </c>
      <c r="S138" s="6" t="str">
        <f>_xlfn.CONCAT(Table1[[#This Row],[Sub_Category]],"-",Table1[[#This Row],[bike colour]])</f>
        <v>Road Bikes-yellow</v>
      </c>
    </row>
    <row r="139" spans="1:19" x14ac:dyDescent="0.3">
      <c r="A139" s="1">
        <v>44488</v>
      </c>
      <c r="B139">
        <v>19</v>
      </c>
      <c r="C139" t="s">
        <v>13</v>
      </c>
      <c r="D139">
        <v>2021</v>
      </c>
      <c r="E139">
        <v>41</v>
      </c>
      <c r="F139" t="s">
        <v>14</v>
      </c>
      <c r="G139" t="s">
        <v>122</v>
      </c>
      <c r="H139" t="s">
        <v>27</v>
      </c>
      <c r="I139" t="s">
        <v>45</v>
      </c>
      <c r="J139" t="s">
        <v>17</v>
      </c>
      <c r="K139" t="s">
        <v>46</v>
      </c>
      <c r="L139">
        <v>1</v>
      </c>
      <c r="M139" s="6">
        <v>713</v>
      </c>
      <c r="N139" s="6">
        <v>1120</v>
      </c>
      <c r="O139" s="6">
        <f>Table1[[#This Row],[Unit_Price]]*Table1[[#This Row],[Order_Quantity]]</f>
        <v>1120</v>
      </c>
      <c r="P139" s="6">
        <f>Table1[[#This Row],[Unit_Cost]]*Table1[[#This Row],[Order_Quantity]]</f>
        <v>713</v>
      </c>
      <c r="Q139" s="4">
        <f>Table1[[#This Row],[total sales]]-Table1[[#This Row],[total cost]]</f>
        <v>407</v>
      </c>
      <c r="R139" s="6" t="s">
        <v>137</v>
      </c>
      <c r="S139" s="6" t="str">
        <f>_xlfn.CONCAT(Table1[[#This Row],[Sub_Category]],"-",Table1[[#This Row],[bike colour]])</f>
        <v>Road Bikes-red</v>
      </c>
    </row>
    <row r="140" spans="1:19" x14ac:dyDescent="0.3">
      <c r="A140" s="1">
        <v>44488</v>
      </c>
      <c r="B140">
        <v>19</v>
      </c>
      <c r="C140" t="s">
        <v>13</v>
      </c>
      <c r="D140">
        <v>2021</v>
      </c>
      <c r="E140">
        <v>51</v>
      </c>
      <c r="F140" t="s">
        <v>14</v>
      </c>
      <c r="G140" t="s">
        <v>120</v>
      </c>
      <c r="H140" t="s">
        <v>27</v>
      </c>
      <c r="I140" t="s">
        <v>33</v>
      </c>
      <c r="J140" t="s">
        <v>25</v>
      </c>
      <c r="K140" t="s">
        <v>56</v>
      </c>
      <c r="L140">
        <v>1</v>
      </c>
      <c r="M140" s="6">
        <v>713</v>
      </c>
      <c r="N140" s="6">
        <v>1120</v>
      </c>
      <c r="O140" s="6">
        <f>Table1[[#This Row],[Unit_Price]]*Table1[[#This Row],[Order_Quantity]]</f>
        <v>1120</v>
      </c>
      <c r="P140" s="6">
        <f>Table1[[#This Row],[Unit_Cost]]*Table1[[#This Row],[Order_Quantity]]</f>
        <v>713</v>
      </c>
      <c r="Q140" s="4">
        <f>Table1[[#This Row],[total sales]]-Table1[[#This Row],[total cost]]</f>
        <v>407</v>
      </c>
      <c r="R140" s="6" t="s">
        <v>139</v>
      </c>
      <c r="S140" s="6" t="str">
        <f>_xlfn.CONCAT(Table1[[#This Row],[Sub_Category]],"-",Table1[[#This Row],[bike colour]])</f>
        <v>Mountain Bikes-silver</v>
      </c>
    </row>
    <row r="141" spans="1:19" x14ac:dyDescent="0.3">
      <c r="A141" s="1">
        <v>44489</v>
      </c>
      <c r="B141">
        <v>20</v>
      </c>
      <c r="C141" t="s">
        <v>13</v>
      </c>
      <c r="D141">
        <v>2021</v>
      </c>
      <c r="E141">
        <v>26</v>
      </c>
      <c r="F141" t="s">
        <v>19</v>
      </c>
      <c r="G141" t="s">
        <v>120</v>
      </c>
      <c r="H141" t="s">
        <v>27</v>
      </c>
      <c r="I141" t="s">
        <v>28</v>
      </c>
      <c r="J141" t="s">
        <v>25</v>
      </c>
      <c r="K141" t="s">
        <v>31</v>
      </c>
      <c r="L141">
        <v>3</v>
      </c>
      <c r="M141" s="6">
        <v>713</v>
      </c>
      <c r="N141" s="6">
        <v>1120</v>
      </c>
      <c r="O141" s="6">
        <f>Table1[[#This Row],[Unit_Price]]*Table1[[#This Row],[Order_Quantity]]</f>
        <v>3360</v>
      </c>
      <c r="P141" s="6">
        <f>Table1[[#This Row],[Unit_Cost]]*Table1[[#This Row],[Order_Quantity]]</f>
        <v>2139</v>
      </c>
      <c r="Q141" s="4">
        <f>Table1[[#This Row],[total sales]]-Table1[[#This Row],[total cost]]</f>
        <v>1221</v>
      </c>
      <c r="R141" s="6" t="s">
        <v>139</v>
      </c>
      <c r="S141" s="6" t="str">
        <f>_xlfn.CONCAT(Table1[[#This Row],[Sub_Category]],"-",Table1[[#This Row],[bike colour]])</f>
        <v>Mountain Bikes-silver</v>
      </c>
    </row>
    <row r="142" spans="1:19" x14ac:dyDescent="0.3">
      <c r="A142" s="1">
        <v>44489</v>
      </c>
      <c r="B142">
        <v>20</v>
      </c>
      <c r="C142" t="s">
        <v>13</v>
      </c>
      <c r="D142">
        <v>2021</v>
      </c>
      <c r="E142">
        <v>30</v>
      </c>
      <c r="F142" t="s">
        <v>19</v>
      </c>
      <c r="G142" t="s">
        <v>122</v>
      </c>
      <c r="H142" t="s">
        <v>50</v>
      </c>
      <c r="I142" t="s">
        <v>93</v>
      </c>
      <c r="J142" t="s">
        <v>17</v>
      </c>
      <c r="K142" t="s">
        <v>54</v>
      </c>
      <c r="L142">
        <v>3</v>
      </c>
      <c r="M142" s="6">
        <v>713</v>
      </c>
      <c r="N142" s="6">
        <v>1120</v>
      </c>
      <c r="O142" s="6">
        <f>Table1[[#This Row],[Unit_Price]]*Table1[[#This Row],[Order_Quantity]]</f>
        <v>3360</v>
      </c>
      <c r="P142" s="6">
        <f>Table1[[#This Row],[Unit_Cost]]*Table1[[#This Row],[Order_Quantity]]</f>
        <v>2139</v>
      </c>
      <c r="Q142" s="4">
        <f>Table1[[#This Row],[total sales]]-Table1[[#This Row],[total cost]]</f>
        <v>1221</v>
      </c>
      <c r="R142" s="6" t="s">
        <v>137</v>
      </c>
      <c r="S142" s="6" t="str">
        <f>_xlfn.CONCAT(Table1[[#This Row],[Sub_Category]],"-",Table1[[#This Row],[bike colour]])</f>
        <v>Road Bikes-red</v>
      </c>
    </row>
    <row r="143" spans="1:19" x14ac:dyDescent="0.3">
      <c r="A143" s="1">
        <v>44489</v>
      </c>
      <c r="B143">
        <v>20</v>
      </c>
      <c r="C143" t="s">
        <v>13</v>
      </c>
      <c r="D143">
        <v>2021</v>
      </c>
      <c r="E143">
        <v>39</v>
      </c>
      <c r="F143" t="s">
        <v>14</v>
      </c>
      <c r="G143" t="s">
        <v>122</v>
      </c>
      <c r="H143" t="s">
        <v>23</v>
      </c>
      <c r="I143" t="s">
        <v>24</v>
      </c>
      <c r="J143" t="s">
        <v>17</v>
      </c>
      <c r="K143" t="s">
        <v>79</v>
      </c>
      <c r="L143">
        <v>2</v>
      </c>
      <c r="M143" s="6">
        <v>713</v>
      </c>
      <c r="N143" s="6">
        <v>1120</v>
      </c>
      <c r="O143" s="6">
        <f>Table1[[#This Row],[Unit_Price]]*Table1[[#This Row],[Order_Quantity]]</f>
        <v>2240</v>
      </c>
      <c r="P143" s="6">
        <f>Table1[[#This Row],[Unit_Cost]]*Table1[[#This Row],[Order_Quantity]]</f>
        <v>1426</v>
      </c>
      <c r="Q143" s="4">
        <f>Table1[[#This Row],[total sales]]-Table1[[#This Row],[total cost]]</f>
        <v>814</v>
      </c>
      <c r="R143" s="6" t="s">
        <v>137</v>
      </c>
      <c r="S143" s="6" t="str">
        <f>_xlfn.CONCAT(Table1[[#This Row],[Sub_Category]],"-",Table1[[#This Row],[bike colour]])</f>
        <v>Road Bikes-red</v>
      </c>
    </row>
    <row r="144" spans="1:19" x14ac:dyDescent="0.3">
      <c r="A144" s="1">
        <v>44489</v>
      </c>
      <c r="B144">
        <v>20</v>
      </c>
      <c r="C144" t="s">
        <v>13</v>
      </c>
      <c r="D144">
        <v>2021</v>
      </c>
      <c r="E144">
        <v>26</v>
      </c>
      <c r="F144" t="s">
        <v>19</v>
      </c>
      <c r="G144" t="s">
        <v>120</v>
      </c>
      <c r="H144" t="s">
        <v>50</v>
      </c>
      <c r="I144" t="s">
        <v>94</v>
      </c>
      <c r="J144" t="s">
        <v>17</v>
      </c>
      <c r="K144" t="s">
        <v>46</v>
      </c>
      <c r="L144">
        <v>1</v>
      </c>
      <c r="M144" s="6">
        <v>713</v>
      </c>
      <c r="N144" s="6">
        <v>1120</v>
      </c>
      <c r="O144" s="6">
        <f>Table1[[#This Row],[Unit_Price]]*Table1[[#This Row],[Order_Quantity]]</f>
        <v>1120</v>
      </c>
      <c r="P144" s="6">
        <f>Table1[[#This Row],[Unit_Cost]]*Table1[[#This Row],[Order_Quantity]]</f>
        <v>713</v>
      </c>
      <c r="Q144" s="4">
        <f>Table1[[#This Row],[total sales]]-Table1[[#This Row],[total cost]]</f>
        <v>407</v>
      </c>
      <c r="R144" s="6" t="s">
        <v>137</v>
      </c>
      <c r="S144" s="6" t="str">
        <f>_xlfn.CONCAT(Table1[[#This Row],[Sub_Category]],"-",Table1[[#This Row],[bike colour]])</f>
        <v>Road Bikes-red</v>
      </c>
    </row>
    <row r="145" spans="1:19" x14ac:dyDescent="0.3">
      <c r="A145" s="1">
        <v>44489</v>
      </c>
      <c r="B145">
        <v>20</v>
      </c>
      <c r="C145" t="s">
        <v>13</v>
      </c>
      <c r="D145">
        <v>2021</v>
      </c>
      <c r="E145">
        <v>27</v>
      </c>
      <c r="F145" t="s">
        <v>19</v>
      </c>
      <c r="G145" t="s">
        <v>122</v>
      </c>
      <c r="H145" t="s">
        <v>23</v>
      </c>
      <c r="I145" t="s">
        <v>24</v>
      </c>
      <c r="J145" t="s">
        <v>17</v>
      </c>
      <c r="K145" t="s">
        <v>41</v>
      </c>
      <c r="L145">
        <v>1</v>
      </c>
      <c r="M145" s="6">
        <v>713</v>
      </c>
      <c r="N145" s="6">
        <v>1120</v>
      </c>
      <c r="O145" s="6">
        <f>Table1[[#This Row],[Unit_Price]]*Table1[[#This Row],[Order_Quantity]]</f>
        <v>1120</v>
      </c>
      <c r="P145" s="6">
        <f>Table1[[#This Row],[Unit_Cost]]*Table1[[#This Row],[Order_Quantity]]</f>
        <v>713</v>
      </c>
      <c r="Q145" s="4">
        <f>Table1[[#This Row],[total sales]]-Table1[[#This Row],[total cost]]</f>
        <v>407</v>
      </c>
      <c r="R145" s="6" t="s">
        <v>138</v>
      </c>
      <c r="S145" s="6" t="str">
        <f>_xlfn.CONCAT(Table1[[#This Row],[Sub_Category]],"-",Table1[[#This Row],[bike colour]])</f>
        <v>Road Bikes-black</v>
      </c>
    </row>
    <row r="146" spans="1:19" x14ac:dyDescent="0.3">
      <c r="A146" s="1">
        <v>44489</v>
      </c>
      <c r="B146">
        <v>20</v>
      </c>
      <c r="C146" t="s">
        <v>13</v>
      </c>
      <c r="D146">
        <v>2021</v>
      </c>
      <c r="E146">
        <v>29</v>
      </c>
      <c r="F146" t="s">
        <v>19</v>
      </c>
      <c r="G146" t="s">
        <v>120</v>
      </c>
      <c r="H146" t="s">
        <v>23</v>
      </c>
      <c r="I146" t="s">
        <v>24</v>
      </c>
      <c r="J146" t="s">
        <v>17</v>
      </c>
      <c r="K146" t="s">
        <v>65</v>
      </c>
      <c r="L146">
        <v>1</v>
      </c>
      <c r="M146" s="6">
        <v>713</v>
      </c>
      <c r="N146" s="6">
        <v>1120</v>
      </c>
      <c r="O146" s="6">
        <f>Table1[[#This Row],[Unit_Price]]*Table1[[#This Row],[Order_Quantity]]</f>
        <v>1120</v>
      </c>
      <c r="P146" s="6">
        <f>Table1[[#This Row],[Unit_Cost]]*Table1[[#This Row],[Order_Quantity]]</f>
        <v>713</v>
      </c>
      <c r="Q146" s="4">
        <f>Table1[[#This Row],[total sales]]-Table1[[#This Row],[total cost]]</f>
        <v>407</v>
      </c>
      <c r="R146" s="6" t="s">
        <v>136</v>
      </c>
      <c r="S146" s="6" t="str">
        <f>_xlfn.CONCAT(Table1[[#This Row],[Sub_Category]],"-",Table1[[#This Row],[bike colour]])</f>
        <v>Road Bikes-yellow</v>
      </c>
    </row>
    <row r="147" spans="1:19" x14ac:dyDescent="0.3">
      <c r="A147" s="1">
        <v>44489</v>
      </c>
      <c r="B147">
        <v>20</v>
      </c>
      <c r="C147" t="s">
        <v>13</v>
      </c>
      <c r="D147">
        <v>2021</v>
      </c>
      <c r="E147">
        <v>29</v>
      </c>
      <c r="F147" t="s">
        <v>19</v>
      </c>
      <c r="G147" t="s">
        <v>122</v>
      </c>
      <c r="H147" t="s">
        <v>20</v>
      </c>
      <c r="I147" t="s">
        <v>21</v>
      </c>
      <c r="J147" t="s">
        <v>17</v>
      </c>
      <c r="K147" t="s">
        <v>41</v>
      </c>
      <c r="L147">
        <v>1</v>
      </c>
      <c r="M147" s="6">
        <v>713</v>
      </c>
      <c r="N147" s="6">
        <v>1120</v>
      </c>
      <c r="O147" s="6">
        <f>Table1[[#This Row],[Unit_Price]]*Table1[[#This Row],[Order_Quantity]]</f>
        <v>1120</v>
      </c>
      <c r="P147" s="6">
        <f>Table1[[#This Row],[Unit_Cost]]*Table1[[#This Row],[Order_Quantity]]</f>
        <v>713</v>
      </c>
      <c r="Q147" s="4">
        <f>Table1[[#This Row],[total sales]]-Table1[[#This Row],[total cost]]</f>
        <v>407</v>
      </c>
      <c r="R147" s="6" t="s">
        <v>138</v>
      </c>
      <c r="S147" s="6" t="str">
        <f>_xlfn.CONCAT(Table1[[#This Row],[Sub_Category]],"-",Table1[[#This Row],[bike colour]])</f>
        <v>Road Bikes-black</v>
      </c>
    </row>
    <row r="148" spans="1:19" x14ac:dyDescent="0.3">
      <c r="A148" s="1">
        <v>44489</v>
      </c>
      <c r="B148">
        <v>20</v>
      </c>
      <c r="C148" t="s">
        <v>13</v>
      </c>
      <c r="D148">
        <v>2021</v>
      </c>
      <c r="E148">
        <v>35</v>
      </c>
      <c r="F148" t="s">
        <v>14</v>
      </c>
      <c r="G148" t="s">
        <v>120</v>
      </c>
      <c r="H148" t="s">
        <v>20</v>
      </c>
      <c r="I148" t="s">
        <v>21</v>
      </c>
      <c r="J148" t="s">
        <v>17</v>
      </c>
      <c r="K148" t="s">
        <v>55</v>
      </c>
      <c r="L148">
        <v>1</v>
      </c>
      <c r="M148" s="6">
        <v>713</v>
      </c>
      <c r="N148" s="6">
        <v>1120</v>
      </c>
      <c r="O148" s="6">
        <f>Table1[[#This Row],[Unit_Price]]*Table1[[#This Row],[Order_Quantity]]</f>
        <v>1120</v>
      </c>
      <c r="P148" s="6">
        <f>Table1[[#This Row],[Unit_Cost]]*Table1[[#This Row],[Order_Quantity]]</f>
        <v>713</v>
      </c>
      <c r="Q148" s="4">
        <f>Table1[[#This Row],[total sales]]-Table1[[#This Row],[total cost]]</f>
        <v>407</v>
      </c>
      <c r="R148" s="6" t="s">
        <v>138</v>
      </c>
      <c r="S148" s="6" t="str">
        <f>_xlfn.CONCAT(Table1[[#This Row],[Sub_Category]],"-",Table1[[#This Row],[bike colour]])</f>
        <v>Road Bikes-black</v>
      </c>
    </row>
    <row r="149" spans="1:19" x14ac:dyDescent="0.3">
      <c r="A149" s="1">
        <v>44489</v>
      </c>
      <c r="B149">
        <v>20</v>
      </c>
      <c r="C149" t="s">
        <v>13</v>
      </c>
      <c r="D149">
        <v>2021</v>
      </c>
      <c r="E149">
        <v>61</v>
      </c>
      <c r="F149" t="s">
        <v>14</v>
      </c>
      <c r="G149" t="s">
        <v>122</v>
      </c>
      <c r="H149" t="s">
        <v>15</v>
      </c>
      <c r="I149" t="s">
        <v>47</v>
      </c>
      <c r="J149" t="s">
        <v>17</v>
      </c>
      <c r="K149" t="s">
        <v>66</v>
      </c>
      <c r="L149">
        <v>1</v>
      </c>
      <c r="M149" s="6">
        <v>713</v>
      </c>
      <c r="N149" s="6">
        <v>1120</v>
      </c>
      <c r="O149" s="6">
        <f>Table1[[#This Row],[Unit_Price]]*Table1[[#This Row],[Order_Quantity]]</f>
        <v>1120</v>
      </c>
      <c r="P149" s="6">
        <f>Table1[[#This Row],[Unit_Cost]]*Table1[[#This Row],[Order_Quantity]]</f>
        <v>713</v>
      </c>
      <c r="Q149" s="4">
        <f>Table1[[#This Row],[total sales]]-Table1[[#This Row],[total cost]]</f>
        <v>407</v>
      </c>
      <c r="R149" s="6" t="s">
        <v>138</v>
      </c>
      <c r="S149" s="6" t="str">
        <f>_xlfn.CONCAT(Table1[[#This Row],[Sub_Category]],"-",Table1[[#This Row],[bike colour]])</f>
        <v>Road Bikes-black</v>
      </c>
    </row>
    <row r="150" spans="1:19" x14ac:dyDescent="0.3">
      <c r="A150" s="1">
        <v>44490</v>
      </c>
      <c r="B150">
        <v>21</v>
      </c>
      <c r="C150" t="s">
        <v>13</v>
      </c>
      <c r="D150">
        <v>2021</v>
      </c>
      <c r="E150">
        <v>28</v>
      </c>
      <c r="F150" t="s">
        <v>19</v>
      </c>
      <c r="G150" t="s">
        <v>122</v>
      </c>
      <c r="H150" t="s">
        <v>50</v>
      </c>
      <c r="I150" t="s">
        <v>94</v>
      </c>
      <c r="J150" t="s">
        <v>25</v>
      </c>
      <c r="K150" t="s">
        <v>92</v>
      </c>
      <c r="L150">
        <v>4</v>
      </c>
      <c r="M150" s="6">
        <v>713</v>
      </c>
      <c r="N150" s="6">
        <v>1120</v>
      </c>
      <c r="O150" s="6">
        <f>Table1[[#This Row],[Unit_Price]]*Table1[[#This Row],[Order_Quantity]]</f>
        <v>4480</v>
      </c>
      <c r="P150" s="6">
        <f>Table1[[#This Row],[Unit_Cost]]*Table1[[#This Row],[Order_Quantity]]</f>
        <v>2852</v>
      </c>
      <c r="Q150" s="4">
        <f>Table1[[#This Row],[total sales]]-Table1[[#This Row],[total cost]]</f>
        <v>1628</v>
      </c>
      <c r="R150" s="6" t="s">
        <v>139</v>
      </c>
      <c r="S150" s="6" t="str">
        <f>_xlfn.CONCAT(Table1[[#This Row],[Sub_Category]],"-",Table1[[#This Row],[bike colour]])</f>
        <v>Mountain Bikes-silver</v>
      </c>
    </row>
    <row r="151" spans="1:19" x14ac:dyDescent="0.3">
      <c r="A151" s="1">
        <v>44490</v>
      </c>
      <c r="B151">
        <v>21</v>
      </c>
      <c r="C151" t="s">
        <v>13</v>
      </c>
      <c r="D151">
        <v>2021</v>
      </c>
      <c r="E151">
        <v>44</v>
      </c>
      <c r="F151" t="s">
        <v>14</v>
      </c>
      <c r="G151" t="s">
        <v>120</v>
      </c>
      <c r="H151" t="s">
        <v>42</v>
      </c>
      <c r="I151" t="s">
        <v>86</v>
      </c>
      <c r="J151" t="s">
        <v>17</v>
      </c>
      <c r="K151" t="s">
        <v>88</v>
      </c>
      <c r="L151">
        <v>3</v>
      </c>
      <c r="M151" s="6">
        <v>713</v>
      </c>
      <c r="N151" s="6">
        <v>1120</v>
      </c>
      <c r="O151" s="6">
        <f>Table1[[#This Row],[Unit_Price]]*Table1[[#This Row],[Order_Quantity]]</f>
        <v>3360</v>
      </c>
      <c r="P151" s="6">
        <f>Table1[[#This Row],[Unit_Cost]]*Table1[[#This Row],[Order_Quantity]]</f>
        <v>2139</v>
      </c>
      <c r="Q151" s="4">
        <f>Table1[[#This Row],[total sales]]-Table1[[#This Row],[total cost]]</f>
        <v>1221</v>
      </c>
      <c r="R151" s="6" t="s">
        <v>137</v>
      </c>
      <c r="S151" s="6" t="str">
        <f>_xlfn.CONCAT(Table1[[#This Row],[Sub_Category]],"-",Table1[[#This Row],[bike colour]])</f>
        <v>Road Bikes-red</v>
      </c>
    </row>
    <row r="152" spans="1:19" x14ac:dyDescent="0.3">
      <c r="A152" s="1">
        <v>44490</v>
      </c>
      <c r="B152">
        <v>21</v>
      </c>
      <c r="C152" t="s">
        <v>13</v>
      </c>
      <c r="D152">
        <v>2021</v>
      </c>
      <c r="E152">
        <v>57</v>
      </c>
      <c r="F152" t="s">
        <v>14</v>
      </c>
      <c r="G152" t="s">
        <v>120</v>
      </c>
      <c r="H152" t="s">
        <v>27</v>
      </c>
      <c r="I152" t="s">
        <v>45</v>
      </c>
      <c r="J152" t="s">
        <v>17</v>
      </c>
      <c r="K152" t="s">
        <v>73</v>
      </c>
      <c r="L152">
        <v>3</v>
      </c>
      <c r="M152" s="6">
        <v>713</v>
      </c>
      <c r="N152" s="6">
        <v>1120</v>
      </c>
      <c r="O152" s="6">
        <f>Table1[[#This Row],[Unit_Price]]*Table1[[#This Row],[Order_Quantity]]</f>
        <v>3360</v>
      </c>
      <c r="P152" s="6">
        <f>Table1[[#This Row],[Unit_Cost]]*Table1[[#This Row],[Order_Quantity]]</f>
        <v>2139</v>
      </c>
      <c r="Q152" s="4">
        <f>Table1[[#This Row],[total sales]]-Table1[[#This Row],[total cost]]</f>
        <v>1221</v>
      </c>
      <c r="R152" s="6" t="s">
        <v>138</v>
      </c>
      <c r="S152" s="6" t="str">
        <f>_xlfn.CONCAT(Table1[[#This Row],[Sub_Category]],"-",Table1[[#This Row],[bike colour]])</f>
        <v>Road Bikes-black</v>
      </c>
    </row>
    <row r="153" spans="1:19" x14ac:dyDescent="0.3">
      <c r="A153" s="1">
        <v>44490</v>
      </c>
      <c r="B153">
        <v>21</v>
      </c>
      <c r="C153" t="s">
        <v>13</v>
      </c>
      <c r="D153">
        <v>2021</v>
      </c>
      <c r="E153">
        <v>44</v>
      </c>
      <c r="F153" t="s">
        <v>14</v>
      </c>
      <c r="G153" t="s">
        <v>122</v>
      </c>
      <c r="H153" t="s">
        <v>27</v>
      </c>
      <c r="I153" t="s">
        <v>30</v>
      </c>
      <c r="J153" t="s">
        <v>25</v>
      </c>
      <c r="K153" t="s">
        <v>34</v>
      </c>
      <c r="L153">
        <v>2</v>
      </c>
      <c r="M153" s="6">
        <v>713</v>
      </c>
      <c r="N153" s="6">
        <v>1120</v>
      </c>
      <c r="O153" s="6">
        <f>Table1[[#This Row],[Unit_Price]]*Table1[[#This Row],[Order_Quantity]]</f>
        <v>2240</v>
      </c>
      <c r="P153" s="6">
        <f>Table1[[#This Row],[Unit_Cost]]*Table1[[#This Row],[Order_Quantity]]</f>
        <v>1426</v>
      </c>
      <c r="Q153" s="4">
        <f>Table1[[#This Row],[total sales]]-Table1[[#This Row],[total cost]]</f>
        <v>814</v>
      </c>
      <c r="R153" s="6" t="s">
        <v>138</v>
      </c>
      <c r="S153" s="6" t="str">
        <f>_xlfn.CONCAT(Table1[[#This Row],[Sub_Category]],"-",Table1[[#This Row],[bike colour]])</f>
        <v>Mountain Bikes-black</v>
      </c>
    </row>
    <row r="154" spans="1:19" x14ac:dyDescent="0.3">
      <c r="A154" s="1">
        <v>44490</v>
      </c>
      <c r="B154">
        <v>21</v>
      </c>
      <c r="C154" t="s">
        <v>13</v>
      </c>
      <c r="D154">
        <v>2021</v>
      </c>
      <c r="E154">
        <v>52</v>
      </c>
      <c r="F154" t="s">
        <v>14</v>
      </c>
      <c r="G154" t="s">
        <v>122</v>
      </c>
      <c r="H154" t="s">
        <v>15</v>
      </c>
      <c r="I154" t="s">
        <v>16</v>
      </c>
      <c r="J154" t="s">
        <v>25</v>
      </c>
      <c r="K154" t="s">
        <v>62</v>
      </c>
      <c r="L154">
        <v>2</v>
      </c>
      <c r="M154" s="6">
        <v>713</v>
      </c>
      <c r="N154" s="6">
        <v>1120</v>
      </c>
      <c r="O154" s="6">
        <f>Table1[[#This Row],[Unit_Price]]*Table1[[#This Row],[Order_Quantity]]</f>
        <v>2240</v>
      </c>
      <c r="P154" s="6">
        <f>Table1[[#This Row],[Unit_Cost]]*Table1[[#This Row],[Order_Quantity]]</f>
        <v>1426</v>
      </c>
      <c r="Q154" s="4">
        <f>Table1[[#This Row],[total sales]]-Table1[[#This Row],[total cost]]</f>
        <v>814</v>
      </c>
      <c r="R154" s="6" t="s">
        <v>139</v>
      </c>
      <c r="S154" s="6" t="str">
        <f>_xlfn.CONCAT(Table1[[#This Row],[Sub_Category]],"-",Table1[[#This Row],[bike colour]])</f>
        <v>Mountain Bikes-silver</v>
      </c>
    </row>
    <row r="155" spans="1:19" x14ac:dyDescent="0.3">
      <c r="A155" s="1">
        <v>44490</v>
      </c>
      <c r="B155">
        <v>21</v>
      </c>
      <c r="C155" t="s">
        <v>13</v>
      </c>
      <c r="D155">
        <v>2021</v>
      </c>
      <c r="E155">
        <v>61</v>
      </c>
      <c r="F155" t="s">
        <v>14</v>
      </c>
      <c r="G155" t="s">
        <v>120</v>
      </c>
      <c r="H155" t="s">
        <v>15</v>
      </c>
      <c r="I155" t="s">
        <v>16</v>
      </c>
      <c r="J155" t="s">
        <v>17</v>
      </c>
      <c r="K155" t="s">
        <v>38</v>
      </c>
      <c r="L155">
        <v>2</v>
      </c>
      <c r="M155" s="6">
        <v>713</v>
      </c>
      <c r="N155" s="6">
        <v>1120</v>
      </c>
      <c r="O155" s="6">
        <f>Table1[[#This Row],[Unit_Price]]*Table1[[#This Row],[Order_Quantity]]</f>
        <v>2240</v>
      </c>
      <c r="P155" s="6">
        <f>Table1[[#This Row],[Unit_Cost]]*Table1[[#This Row],[Order_Quantity]]</f>
        <v>1426</v>
      </c>
      <c r="Q155" s="4">
        <f>Table1[[#This Row],[total sales]]-Table1[[#This Row],[total cost]]</f>
        <v>814</v>
      </c>
      <c r="R155" s="6" t="s">
        <v>137</v>
      </c>
      <c r="S155" s="6" t="str">
        <f>_xlfn.CONCAT(Table1[[#This Row],[Sub_Category]],"-",Table1[[#This Row],[bike colour]])</f>
        <v>Road Bikes-red</v>
      </c>
    </row>
    <row r="156" spans="1:19" x14ac:dyDescent="0.3">
      <c r="A156" s="1">
        <v>44490</v>
      </c>
      <c r="B156">
        <v>21</v>
      </c>
      <c r="C156" t="s">
        <v>13</v>
      </c>
      <c r="D156">
        <v>2021</v>
      </c>
      <c r="E156">
        <v>23</v>
      </c>
      <c r="F156" t="s">
        <v>49</v>
      </c>
      <c r="G156" t="s">
        <v>122</v>
      </c>
      <c r="H156" t="s">
        <v>27</v>
      </c>
      <c r="I156" t="s">
        <v>33</v>
      </c>
      <c r="J156" t="s">
        <v>17</v>
      </c>
      <c r="K156" t="s">
        <v>52</v>
      </c>
      <c r="L156">
        <v>1</v>
      </c>
      <c r="M156" s="6">
        <v>713</v>
      </c>
      <c r="N156" s="6">
        <v>1120</v>
      </c>
      <c r="O156" s="6">
        <f>Table1[[#This Row],[Unit_Price]]*Table1[[#This Row],[Order_Quantity]]</f>
        <v>1120</v>
      </c>
      <c r="P156" s="6">
        <f>Table1[[#This Row],[Unit_Cost]]*Table1[[#This Row],[Order_Quantity]]</f>
        <v>713</v>
      </c>
      <c r="Q156" s="4">
        <f>Table1[[#This Row],[total sales]]-Table1[[#This Row],[total cost]]</f>
        <v>407</v>
      </c>
      <c r="R156" s="6" t="s">
        <v>138</v>
      </c>
      <c r="S156" s="6" t="str">
        <f>_xlfn.CONCAT(Table1[[#This Row],[Sub_Category]],"-",Table1[[#This Row],[bike colour]])</f>
        <v>Road Bikes-black</v>
      </c>
    </row>
    <row r="157" spans="1:19" x14ac:dyDescent="0.3">
      <c r="A157" s="1">
        <v>44490</v>
      </c>
      <c r="B157">
        <v>21</v>
      </c>
      <c r="C157" t="s">
        <v>13</v>
      </c>
      <c r="D157">
        <v>2021</v>
      </c>
      <c r="E157">
        <v>32</v>
      </c>
      <c r="F157" t="s">
        <v>19</v>
      </c>
      <c r="G157" t="s">
        <v>120</v>
      </c>
      <c r="H157" t="s">
        <v>27</v>
      </c>
      <c r="I157" t="s">
        <v>33</v>
      </c>
      <c r="J157" t="s">
        <v>25</v>
      </c>
      <c r="K157" t="s">
        <v>95</v>
      </c>
      <c r="L157">
        <v>1</v>
      </c>
      <c r="M157" s="6">
        <v>713</v>
      </c>
      <c r="N157" s="6">
        <v>1120</v>
      </c>
      <c r="O157" s="6">
        <f>Table1[[#This Row],[Unit_Price]]*Table1[[#This Row],[Order_Quantity]]</f>
        <v>1120</v>
      </c>
      <c r="P157" s="6">
        <f>Table1[[#This Row],[Unit_Cost]]*Table1[[#This Row],[Order_Quantity]]</f>
        <v>713</v>
      </c>
      <c r="Q157" s="4">
        <f>Table1[[#This Row],[total sales]]-Table1[[#This Row],[total cost]]</f>
        <v>407</v>
      </c>
      <c r="R157" s="6" t="s">
        <v>139</v>
      </c>
      <c r="S157" s="6" t="str">
        <f>_xlfn.CONCAT(Table1[[#This Row],[Sub_Category]],"-",Table1[[#This Row],[bike colour]])</f>
        <v>Mountain Bikes-silver</v>
      </c>
    </row>
    <row r="158" spans="1:19" x14ac:dyDescent="0.3">
      <c r="A158" s="1">
        <v>44490</v>
      </c>
      <c r="B158">
        <v>21</v>
      </c>
      <c r="C158" t="s">
        <v>13</v>
      </c>
      <c r="D158">
        <v>2021</v>
      </c>
      <c r="E158">
        <v>32</v>
      </c>
      <c r="F158" t="s">
        <v>19</v>
      </c>
      <c r="G158" t="s">
        <v>120</v>
      </c>
      <c r="H158" t="s">
        <v>27</v>
      </c>
      <c r="I158" t="s">
        <v>45</v>
      </c>
      <c r="J158" t="s">
        <v>25</v>
      </c>
      <c r="K158" t="s">
        <v>92</v>
      </c>
      <c r="L158">
        <v>1</v>
      </c>
      <c r="M158" s="6">
        <v>713</v>
      </c>
      <c r="N158" s="6">
        <v>1120</v>
      </c>
      <c r="O158" s="6">
        <f>Table1[[#This Row],[Unit_Price]]*Table1[[#This Row],[Order_Quantity]]</f>
        <v>1120</v>
      </c>
      <c r="P158" s="6">
        <f>Table1[[#This Row],[Unit_Cost]]*Table1[[#This Row],[Order_Quantity]]</f>
        <v>713</v>
      </c>
      <c r="Q158" s="4">
        <f>Table1[[#This Row],[total sales]]-Table1[[#This Row],[total cost]]</f>
        <v>407</v>
      </c>
      <c r="R158" s="6" t="s">
        <v>139</v>
      </c>
      <c r="S158" s="6" t="str">
        <f>_xlfn.CONCAT(Table1[[#This Row],[Sub_Category]],"-",Table1[[#This Row],[bike colour]])</f>
        <v>Mountain Bikes-silver</v>
      </c>
    </row>
    <row r="159" spans="1:19" x14ac:dyDescent="0.3">
      <c r="A159" s="1">
        <v>44490</v>
      </c>
      <c r="B159">
        <v>21</v>
      </c>
      <c r="C159" t="s">
        <v>13</v>
      </c>
      <c r="D159">
        <v>2021</v>
      </c>
      <c r="E159">
        <v>38</v>
      </c>
      <c r="F159" t="s">
        <v>14</v>
      </c>
      <c r="G159" t="s">
        <v>120</v>
      </c>
      <c r="H159" t="s">
        <v>23</v>
      </c>
      <c r="I159" t="s">
        <v>24</v>
      </c>
      <c r="J159" t="s">
        <v>17</v>
      </c>
      <c r="K159" t="s">
        <v>35</v>
      </c>
      <c r="L159">
        <v>1</v>
      </c>
      <c r="M159" s="6">
        <v>713</v>
      </c>
      <c r="N159" s="6">
        <v>1120</v>
      </c>
      <c r="O159" s="6">
        <f>Table1[[#This Row],[Unit_Price]]*Table1[[#This Row],[Order_Quantity]]</f>
        <v>1120</v>
      </c>
      <c r="P159" s="6">
        <f>Table1[[#This Row],[Unit_Cost]]*Table1[[#This Row],[Order_Quantity]]</f>
        <v>713</v>
      </c>
      <c r="Q159" s="4">
        <f>Table1[[#This Row],[total sales]]-Table1[[#This Row],[total cost]]</f>
        <v>407</v>
      </c>
      <c r="R159" s="6" t="s">
        <v>137</v>
      </c>
      <c r="S159" s="6" t="str">
        <f>_xlfn.CONCAT(Table1[[#This Row],[Sub_Category]],"-",Table1[[#This Row],[bike colour]])</f>
        <v>Road Bikes-red</v>
      </c>
    </row>
    <row r="160" spans="1:19" x14ac:dyDescent="0.3">
      <c r="A160" s="1">
        <v>44491</v>
      </c>
      <c r="B160">
        <v>22</v>
      </c>
      <c r="C160" t="s">
        <v>13</v>
      </c>
      <c r="D160">
        <v>2021</v>
      </c>
      <c r="E160">
        <v>30</v>
      </c>
      <c r="F160" t="s">
        <v>19</v>
      </c>
      <c r="G160" t="s">
        <v>122</v>
      </c>
      <c r="H160" t="s">
        <v>42</v>
      </c>
      <c r="I160" t="s">
        <v>74</v>
      </c>
      <c r="J160" t="s">
        <v>17</v>
      </c>
      <c r="K160" t="s">
        <v>41</v>
      </c>
      <c r="L160">
        <v>4</v>
      </c>
      <c r="M160" s="6">
        <v>713</v>
      </c>
      <c r="N160" s="6">
        <v>1120</v>
      </c>
      <c r="O160" s="6">
        <f>Table1[[#This Row],[Unit_Price]]*Table1[[#This Row],[Order_Quantity]]</f>
        <v>4480</v>
      </c>
      <c r="P160" s="6">
        <f>Table1[[#This Row],[Unit_Cost]]*Table1[[#This Row],[Order_Quantity]]</f>
        <v>2852</v>
      </c>
      <c r="Q160" s="4">
        <f>Table1[[#This Row],[total sales]]-Table1[[#This Row],[total cost]]</f>
        <v>1628</v>
      </c>
      <c r="R160" s="6" t="s">
        <v>138</v>
      </c>
      <c r="S160" s="6" t="str">
        <f>_xlfn.CONCAT(Table1[[#This Row],[Sub_Category]],"-",Table1[[#This Row],[bike colour]])</f>
        <v>Road Bikes-black</v>
      </c>
    </row>
    <row r="161" spans="1:19" x14ac:dyDescent="0.3">
      <c r="A161" s="1">
        <v>44491</v>
      </c>
      <c r="B161">
        <v>22</v>
      </c>
      <c r="C161" t="s">
        <v>13</v>
      </c>
      <c r="D161">
        <v>2021</v>
      </c>
      <c r="E161">
        <v>32</v>
      </c>
      <c r="F161" t="s">
        <v>19</v>
      </c>
      <c r="G161" t="s">
        <v>122</v>
      </c>
      <c r="H161" t="s">
        <v>42</v>
      </c>
      <c r="I161" t="s">
        <v>43</v>
      </c>
      <c r="J161" t="s">
        <v>17</v>
      </c>
      <c r="K161" t="s">
        <v>52</v>
      </c>
      <c r="L161">
        <v>3</v>
      </c>
      <c r="M161" s="6">
        <v>713</v>
      </c>
      <c r="N161" s="6">
        <v>1120</v>
      </c>
      <c r="O161" s="6">
        <f>Table1[[#This Row],[Unit_Price]]*Table1[[#This Row],[Order_Quantity]]</f>
        <v>3360</v>
      </c>
      <c r="P161" s="6">
        <f>Table1[[#This Row],[Unit_Cost]]*Table1[[#This Row],[Order_Quantity]]</f>
        <v>2139</v>
      </c>
      <c r="Q161" s="4">
        <f>Table1[[#This Row],[total sales]]-Table1[[#This Row],[total cost]]</f>
        <v>1221</v>
      </c>
      <c r="R161" s="6" t="s">
        <v>138</v>
      </c>
      <c r="S161" s="6" t="str">
        <f>_xlfn.CONCAT(Table1[[#This Row],[Sub_Category]],"-",Table1[[#This Row],[bike colour]])</f>
        <v>Road Bikes-black</v>
      </c>
    </row>
    <row r="162" spans="1:19" x14ac:dyDescent="0.3">
      <c r="A162" s="1">
        <v>44491</v>
      </c>
      <c r="B162">
        <v>22</v>
      </c>
      <c r="C162" t="s">
        <v>13</v>
      </c>
      <c r="D162">
        <v>2021</v>
      </c>
      <c r="E162">
        <v>35</v>
      </c>
      <c r="F162" t="s">
        <v>14</v>
      </c>
      <c r="G162" t="s">
        <v>122</v>
      </c>
      <c r="H162" t="s">
        <v>20</v>
      </c>
      <c r="I162" t="s">
        <v>21</v>
      </c>
      <c r="J162" t="s">
        <v>17</v>
      </c>
      <c r="K162" t="s">
        <v>55</v>
      </c>
      <c r="L162">
        <v>2</v>
      </c>
      <c r="M162" s="6">
        <v>713</v>
      </c>
      <c r="N162" s="6">
        <v>1120</v>
      </c>
      <c r="O162" s="6">
        <f>Table1[[#This Row],[Unit_Price]]*Table1[[#This Row],[Order_Quantity]]</f>
        <v>2240</v>
      </c>
      <c r="P162" s="6">
        <f>Table1[[#This Row],[Unit_Cost]]*Table1[[#This Row],[Order_Quantity]]</f>
        <v>1426</v>
      </c>
      <c r="Q162" s="4">
        <f>Table1[[#This Row],[total sales]]-Table1[[#This Row],[total cost]]</f>
        <v>814</v>
      </c>
      <c r="R162" s="6" t="s">
        <v>138</v>
      </c>
      <c r="S162" s="6" t="str">
        <f>_xlfn.CONCAT(Table1[[#This Row],[Sub_Category]],"-",Table1[[#This Row],[bike colour]])</f>
        <v>Road Bikes-black</v>
      </c>
    </row>
    <row r="163" spans="1:19" x14ac:dyDescent="0.3">
      <c r="A163" s="1">
        <v>44491</v>
      </c>
      <c r="B163">
        <v>22</v>
      </c>
      <c r="C163" t="s">
        <v>13</v>
      </c>
      <c r="D163">
        <v>2021</v>
      </c>
      <c r="E163">
        <v>25</v>
      </c>
      <c r="F163" t="s">
        <v>19</v>
      </c>
      <c r="G163" t="s">
        <v>120</v>
      </c>
      <c r="H163" t="s">
        <v>20</v>
      </c>
      <c r="I163" t="s">
        <v>21</v>
      </c>
      <c r="J163" t="s">
        <v>17</v>
      </c>
      <c r="K163" t="s">
        <v>85</v>
      </c>
      <c r="L163">
        <v>1</v>
      </c>
      <c r="M163" s="6">
        <v>713</v>
      </c>
      <c r="N163" s="6">
        <v>1120</v>
      </c>
      <c r="O163" s="6">
        <f>Table1[[#This Row],[Unit_Price]]*Table1[[#This Row],[Order_Quantity]]</f>
        <v>1120</v>
      </c>
      <c r="P163" s="6">
        <f>Table1[[#This Row],[Unit_Cost]]*Table1[[#This Row],[Order_Quantity]]</f>
        <v>713</v>
      </c>
      <c r="Q163" s="4">
        <f>Table1[[#This Row],[total sales]]-Table1[[#This Row],[total cost]]</f>
        <v>407</v>
      </c>
      <c r="R163" s="6" t="s">
        <v>137</v>
      </c>
      <c r="S163" s="6" t="str">
        <f>_xlfn.CONCAT(Table1[[#This Row],[Sub_Category]],"-",Table1[[#This Row],[bike colour]])</f>
        <v>Road Bikes-red</v>
      </c>
    </row>
    <row r="164" spans="1:19" x14ac:dyDescent="0.3">
      <c r="A164" s="1">
        <v>44491</v>
      </c>
      <c r="B164">
        <v>22</v>
      </c>
      <c r="C164" t="s">
        <v>13</v>
      </c>
      <c r="D164">
        <v>2021</v>
      </c>
      <c r="E164">
        <v>32</v>
      </c>
      <c r="F164" t="s">
        <v>19</v>
      </c>
      <c r="G164" t="s">
        <v>120</v>
      </c>
      <c r="H164" t="s">
        <v>15</v>
      </c>
      <c r="I164" t="s">
        <v>16</v>
      </c>
      <c r="J164" t="s">
        <v>25</v>
      </c>
      <c r="K164" t="s">
        <v>62</v>
      </c>
      <c r="L164">
        <v>1</v>
      </c>
      <c r="M164" s="6">
        <v>713</v>
      </c>
      <c r="N164" s="6">
        <v>1120</v>
      </c>
      <c r="O164" s="6">
        <f>Table1[[#This Row],[Unit_Price]]*Table1[[#This Row],[Order_Quantity]]</f>
        <v>1120</v>
      </c>
      <c r="P164" s="6">
        <f>Table1[[#This Row],[Unit_Cost]]*Table1[[#This Row],[Order_Quantity]]</f>
        <v>713</v>
      </c>
      <c r="Q164" s="4">
        <f>Table1[[#This Row],[total sales]]-Table1[[#This Row],[total cost]]</f>
        <v>407</v>
      </c>
      <c r="R164" s="6" t="s">
        <v>139</v>
      </c>
      <c r="S164" s="6" t="str">
        <f>_xlfn.CONCAT(Table1[[#This Row],[Sub_Category]],"-",Table1[[#This Row],[bike colour]])</f>
        <v>Mountain Bikes-silver</v>
      </c>
    </row>
    <row r="165" spans="1:19" x14ac:dyDescent="0.3">
      <c r="A165" s="1">
        <v>44491</v>
      </c>
      <c r="B165">
        <v>22</v>
      </c>
      <c r="C165" t="s">
        <v>13</v>
      </c>
      <c r="D165">
        <v>2021</v>
      </c>
      <c r="E165">
        <v>37</v>
      </c>
      <c r="F165" t="s">
        <v>14</v>
      </c>
      <c r="G165" t="s">
        <v>122</v>
      </c>
      <c r="H165" t="s">
        <v>23</v>
      </c>
      <c r="I165" t="s">
        <v>24</v>
      </c>
      <c r="J165" t="s">
        <v>17</v>
      </c>
      <c r="K165" t="s">
        <v>29</v>
      </c>
      <c r="L165">
        <v>1</v>
      </c>
      <c r="M165" s="6">
        <v>713</v>
      </c>
      <c r="N165" s="6">
        <v>1120</v>
      </c>
      <c r="O165" s="6">
        <f>Table1[[#This Row],[Unit_Price]]*Table1[[#This Row],[Order_Quantity]]</f>
        <v>1120</v>
      </c>
      <c r="P165" s="6">
        <f>Table1[[#This Row],[Unit_Cost]]*Table1[[#This Row],[Order_Quantity]]</f>
        <v>713</v>
      </c>
      <c r="Q165" s="4">
        <f>Table1[[#This Row],[total sales]]-Table1[[#This Row],[total cost]]</f>
        <v>407</v>
      </c>
      <c r="R165" s="6" t="s">
        <v>136</v>
      </c>
      <c r="S165" s="6" t="str">
        <f>_xlfn.CONCAT(Table1[[#This Row],[Sub_Category]],"-",Table1[[#This Row],[bike colour]])</f>
        <v>Road Bikes-yellow</v>
      </c>
    </row>
    <row r="166" spans="1:19" x14ac:dyDescent="0.3">
      <c r="A166" s="1">
        <v>44491</v>
      </c>
      <c r="B166">
        <v>22</v>
      </c>
      <c r="C166" t="s">
        <v>13</v>
      </c>
      <c r="D166">
        <v>2021</v>
      </c>
      <c r="E166">
        <v>45</v>
      </c>
      <c r="F166" t="s">
        <v>14</v>
      </c>
      <c r="G166" t="s">
        <v>120</v>
      </c>
      <c r="H166" t="s">
        <v>15</v>
      </c>
      <c r="I166" t="s">
        <v>16</v>
      </c>
      <c r="J166" t="s">
        <v>17</v>
      </c>
      <c r="K166" t="s">
        <v>55</v>
      </c>
      <c r="L166">
        <v>1</v>
      </c>
      <c r="M166" s="6">
        <v>713</v>
      </c>
      <c r="N166" s="6">
        <v>1120</v>
      </c>
      <c r="O166" s="6">
        <f>Table1[[#This Row],[Unit_Price]]*Table1[[#This Row],[Order_Quantity]]</f>
        <v>1120</v>
      </c>
      <c r="P166" s="6">
        <f>Table1[[#This Row],[Unit_Cost]]*Table1[[#This Row],[Order_Quantity]]</f>
        <v>713</v>
      </c>
      <c r="Q166" s="4">
        <f>Table1[[#This Row],[total sales]]-Table1[[#This Row],[total cost]]</f>
        <v>407</v>
      </c>
      <c r="R166" s="6" t="s">
        <v>138</v>
      </c>
      <c r="S166" s="6" t="str">
        <f>_xlfn.CONCAT(Table1[[#This Row],[Sub_Category]],"-",Table1[[#This Row],[bike colour]])</f>
        <v>Road Bikes-black</v>
      </c>
    </row>
    <row r="167" spans="1:19" x14ac:dyDescent="0.3">
      <c r="A167" s="1">
        <v>44492</v>
      </c>
      <c r="B167">
        <v>23</v>
      </c>
      <c r="C167" t="s">
        <v>13</v>
      </c>
      <c r="D167">
        <v>2021</v>
      </c>
      <c r="E167">
        <v>27</v>
      </c>
      <c r="F167" t="s">
        <v>19</v>
      </c>
      <c r="G167" t="s">
        <v>120</v>
      </c>
      <c r="H167" t="s">
        <v>27</v>
      </c>
      <c r="I167" t="s">
        <v>30</v>
      </c>
      <c r="J167" t="s">
        <v>25</v>
      </c>
      <c r="K167" t="s">
        <v>61</v>
      </c>
      <c r="L167">
        <v>1</v>
      </c>
      <c r="M167" s="6">
        <v>713</v>
      </c>
      <c r="N167" s="6">
        <v>1120</v>
      </c>
      <c r="O167" s="6">
        <f>Table1[[#This Row],[Unit_Price]]*Table1[[#This Row],[Order_Quantity]]</f>
        <v>1120</v>
      </c>
      <c r="P167" s="6">
        <f>Table1[[#This Row],[Unit_Cost]]*Table1[[#This Row],[Order_Quantity]]</f>
        <v>713</v>
      </c>
      <c r="Q167" s="4">
        <f>Table1[[#This Row],[total sales]]-Table1[[#This Row],[total cost]]</f>
        <v>407</v>
      </c>
      <c r="R167" s="6" t="s">
        <v>138</v>
      </c>
      <c r="S167" s="6" t="str">
        <f>_xlfn.CONCAT(Table1[[#This Row],[Sub_Category]],"-",Table1[[#This Row],[bike colour]])</f>
        <v>Mountain Bikes-black</v>
      </c>
    </row>
    <row r="168" spans="1:19" x14ac:dyDescent="0.3">
      <c r="A168" s="1">
        <v>44492</v>
      </c>
      <c r="B168">
        <v>23</v>
      </c>
      <c r="C168" t="s">
        <v>13</v>
      </c>
      <c r="D168">
        <v>2021</v>
      </c>
      <c r="E168">
        <v>29</v>
      </c>
      <c r="F168" t="s">
        <v>19</v>
      </c>
      <c r="G168" t="s">
        <v>122</v>
      </c>
      <c r="H168" t="s">
        <v>23</v>
      </c>
      <c r="I168" t="s">
        <v>24</v>
      </c>
      <c r="J168" t="s">
        <v>17</v>
      </c>
      <c r="K168" t="s">
        <v>64</v>
      </c>
      <c r="L168">
        <v>1</v>
      </c>
      <c r="M168" s="6">
        <v>713</v>
      </c>
      <c r="N168" s="6">
        <v>1120</v>
      </c>
      <c r="O168" s="6">
        <f>Table1[[#This Row],[Unit_Price]]*Table1[[#This Row],[Order_Quantity]]</f>
        <v>1120</v>
      </c>
      <c r="P168" s="6">
        <f>Table1[[#This Row],[Unit_Cost]]*Table1[[#This Row],[Order_Quantity]]</f>
        <v>713</v>
      </c>
      <c r="Q168" s="4">
        <f>Table1[[#This Row],[total sales]]-Table1[[#This Row],[total cost]]</f>
        <v>407</v>
      </c>
      <c r="R168" s="6" t="s">
        <v>136</v>
      </c>
      <c r="S168" s="6" t="str">
        <f>_xlfn.CONCAT(Table1[[#This Row],[Sub_Category]],"-",Table1[[#This Row],[bike colour]])</f>
        <v>Road Bikes-yellow</v>
      </c>
    </row>
    <row r="169" spans="1:19" x14ac:dyDescent="0.3">
      <c r="A169" s="1">
        <v>44492</v>
      </c>
      <c r="B169">
        <v>23</v>
      </c>
      <c r="C169" t="s">
        <v>13</v>
      </c>
      <c r="D169">
        <v>2021</v>
      </c>
      <c r="E169">
        <v>36</v>
      </c>
      <c r="F169" t="s">
        <v>14</v>
      </c>
      <c r="G169" t="s">
        <v>122</v>
      </c>
      <c r="H169" t="s">
        <v>50</v>
      </c>
      <c r="I169" t="s">
        <v>51</v>
      </c>
      <c r="J169" t="s">
        <v>17</v>
      </c>
      <c r="K169" t="s">
        <v>63</v>
      </c>
      <c r="L169">
        <v>1</v>
      </c>
      <c r="M169" s="6">
        <v>713</v>
      </c>
      <c r="N169" s="6">
        <v>1120</v>
      </c>
      <c r="O169" s="6">
        <f>Table1[[#This Row],[Unit_Price]]*Table1[[#This Row],[Order_Quantity]]</f>
        <v>1120</v>
      </c>
      <c r="P169" s="6">
        <f>Table1[[#This Row],[Unit_Cost]]*Table1[[#This Row],[Order_Quantity]]</f>
        <v>713</v>
      </c>
      <c r="Q169" s="4">
        <f>Table1[[#This Row],[total sales]]-Table1[[#This Row],[total cost]]</f>
        <v>407</v>
      </c>
      <c r="R169" s="6" t="s">
        <v>136</v>
      </c>
      <c r="S169" s="6" t="str">
        <f>_xlfn.CONCAT(Table1[[#This Row],[Sub_Category]],"-",Table1[[#This Row],[bike colour]])</f>
        <v>Road Bikes-yellow</v>
      </c>
    </row>
    <row r="170" spans="1:19" x14ac:dyDescent="0.3">
      <c r="A170" s="1">
        <v>44492</v>
      </c>
      <c r="B170">
        <v>23</v>
      </c>
      <c r="C170" t="s">
        <v>13</v>
      </c>
      <c r="D170">
        <v>2021</v>
      </c>
      <c r="E170">
        <v>42</v>
      </c>
      <c r="F170" t="s">
        <v>14</v>
      </c>
      <c r="G170" t="s">
        <v>122</v>
      </c>
      <c r="H170" t="s">
        <v>27</v>
      </c>
      <c r="I170" t="s">
        <v>45</v>
      </c>
      <c r="J170" t="s">
        <v>25</v>
      </c>
      <c r="K170" t="s">
        <v>62</v>
      </c>
      <c r="L170">
        <v>1</v>
      </c>
      <c r="M170" s="6">
        <v>713</v>
      </c>
      <c r="N170" s="6">
        <v>1120</v>
      </c>
      <c r="O170" s="6">
        <f>Table1[[#This Row],[Unit_Price]]*Table1[[#This Row],[Order_Quantity]]</f>
        <v>1120</v>
      </c>
      <c r="P170" s="6">
        <f>Table1[[#This Row],[Unit_Cost]]*Table1[[#This Row],[Order_Quantity]]</f>
        <v>713</v>
      </c>
      <c r="Q170" s="4">
        <f>Table1[[#This Row],[total sales]]-Table1[[#This Row],[total cost]]</f>
        <v>407</v>
      </c>
      <c r="R170" s="6" t="s">
        <v>139</v>
      </c>
      <c r="S170" s="6" t="str">
        <f>_xlfn.CONCAT(Table1[[#This Row],[Sub_Category]],"-",Table1[[#This Row],[bike colour]])</f>
        <v>Mountain Bikes-silver</v>
      </c>
    </row>
    <row r="171" spans="1:19" x14ac:dyDescent="0.3">
      <c r="A171" s="1">
        <v>44492</v>
      </c>
      <c r="B171">
        <v>23</v>
      </c>
      <c r="C171" t="s">
        <v>13</v>
      </c>
      <c r="D171">
        <v>2021</v>
      </c>
      <c r="E171">
        <v>42</v>
      </c>
      <c r="F171" t="s">
        <v>14</v>
      </c>
      <c r="G171" t="s">
        <v>122</v>
      </c>
      <c r="H171" t="s">
        <v>27</v>
      </c>
      <c r="I171" t="s">
        <v>30</v>
      </c>
      <c r="J171" t="s">
        <v>25</v>
      </c>
      <c r="K171" t="s">
        <v>26</v>
      </c>
      <c r="L171">
        <v>1</v>
      </c>
      <c r="M171" s="6">
        <v>713</v>
      </c>
      <c r="N171" s="6">
        <v>1120</v>
      </c>
      <c r="O171" s="6">
        <f>Table1[[#This Row],[Unit_Price]]*Table1[[#This Row],[Order_Quantity]]</f>
        <v>1120</v>
      </c>
      <c r="P171" s="6">
        <f>Table1[[#This Row],[Unit_Cost]]*Table1[[#This Row],[Order_Quantity]]</f>
        <v>713</v>
      </c>
      <c r="Q171" s="4">
        <f>Table1[[#This Row],[total sales]]-Table1[[#This Row],[total cost]]</f>
        <v>407</v>
      </c>
      <c r="R171" s="6" t="s">
        <v>138</v>
      </c>
      <c r="S171" s="6" t="str">
        <f>_xlfn.CONCAT(Table1[[#This Row],[Sub_Category]],"-",Table1[[#This Row],[bike colour]])</f>
        <v>Mountain Bikes-black</v>
      </c>
    </row>
    <row r="172" spans="1:19" x14ac:dyDescent="0.3">
      <c r="A172" s="1">
        <v>44492</v>
      </c>
      <c r="B172">
        <v>23</v>
      </c>
      <c r="C172" t="s">
        <v>13</v>
      </c>
      <c r="D172">
        <v>2021</v>
      </c>
      <c r="E172">
        <v>43</v>
      </c>
      <c r="F172" t="s">
        <v>14</v>
      </c>
      <c r="G172" t="s">
        <v>122</v>
      </c>
      <c r="H172" t="s">
        <v>50</v>
      </c>
      <c r="I172" t="s">
        <v>90</v>
      </c>
      <c r="J172" t="s">
        <v>17</v>
      </c>
      <c r="K172" t="s">
        <v>57</v>
      </c>
      <c r="L172">
        <v>1</v>
      </c>
      <c r="M172" s="6">
        <v>713</v>
      </c>
      <c r="N172" s="6">
        <v>1120</v>
      </c>
      <c r="O172" s="6">
        <f>Table1[[#This Row],[Unit_Price]]*Table1[[#This Row],[Order_Quantity]]</f>
        <v>1120</v>
      </c>
      <c r="P172" s="6">
        <f>Table1[[#This Row],[Unit_Cost]]*Table1[[#This Row],[Order_Quantity]]</f>
        <v>713</v>
      </c>
      <c r="Q172" s="4">
        <f>Table1[[#This Row],[total sales]]-Table1[[#This Row],[total cost]]</f>
        <v>407</v>
      </c>
      <c r="R172" s="6" t="s">
        <v>138</v>
      </c>
      <c r="S172" s="6" t="str">
        <f>_xlfn.CONCAT(Table1[[#This Row],[Sub_Category]],"-",Table1[[#This Row],[bike colour]])</f>
        <v>Road Bikes-black</v>
      </c>
    </row>
    <row r="173" spans="1:19" x14ac:dyDescent="0.3">
      <c r="A173" s="1">
        <v>44492</v>
      </c>
      <c r="B173">
        <v>23</v>
      </c>
      <c r="C173" t="s">
        <v>13</v>
      </c>
      <c r="D173">
        <v>2021</v>
      </c>
      <c r="E173">
        <v>47</v>
      </c>
      <c r="F173" t="s">
        <v>14</v>
      </c>
      <c r="G173" t="s">
        <v>120</v>
      </c>
      <c r="H173" t="s">
        <v>27</v>
      </c>
      <c r="I173" t="s">
        <v>28</v>
      </c>
      <c r="J173" t="s">
        <v>25</v>
      </c>
      <c r="K173" t="s">
        <v>61</v>
      </c>
      <c r="L173">
        <v>1</v>
      </c>
      <c r="M173" s="6">
        <v>713</v>
      </c>
      <c r="N173" s="6">
        <v>1120</v>
      </c>
      <c r="O173" s="6">
        <f>Table1[[#This Row],[Unit_Price]]*Table1[[#This Row],[Order_Quantity]]</f>
        <v>1120</v>
      </c>
      <c r="P173" s="6">
        <f>Table1[[#This Row],[Unit_Cost]]*Table1[[#This Row],[Order_Quantity]]</f>
        <v>713</v>
      </c>
      <c r="Q173" s="4">
        <f>Table1[[#This Row],[total sales]]-Table1[[#This Row],[total cost]]</f>
        <v>407</v>
      </c>
      <c r="R173" s="6" t="s">
        <v>138</v>
      </c>
      <c r="S173" s="6" t="str">
        <f>_xlfn.CONCAT(Table1[[#This Row],[Sub_Category]],"-",Table1[[#This Row],[bike colour]])</f>
        <v>Mountain Bikes-black</v>
      </c>
    </row>
    <row r="174" spans="1:19" x14ac:dyDescent="0.3">
      <c r="A174" s="1">
        <v>44493</v>
      </c>
      <c r="B174">
        <v>24</v>
      </c>
      <c r="C174" t="s">
        <v>13</v>
      </c>
      <c r="D174">
        <v>2021</v>
      </c>
      <c r="E174">
        <v>19</v>
      </c>
      <c r="F174" t="s">
        <v>49</v>
      </c>
      <c r="G174" t="s">
        <v>122</v>
      </c>
      <c r="H174" t="s">
        <v>20</v>
      </c>
      <c r="I174" t="s">
        <v>21</v>
      </c>
      <c r="J174" t="s">
        <v>17</v>
      </c>
      <c r="K174" t="s">
        <v>35</v>
      </c>
      <c r="L174">
        <v>3</v>
      </c>
      <c r="M174" s="6">
        <v>713</v>
      </c>
      <c r="N174" s="6">
        <v>1120</v>
      </c>
      <c r="O174" s="6">
        <f>Table1[[#This Row],[Unit_Price]]*Table1[[#This Row],[Order_Quantity]]</f>
        <v>3360</v>
      </c>
      <c r="P174" s="6">
        <f>Table1[[#This Row],[Unit_Cost]]*Table1[[#This Row],[Order_Quantity]]</f>
        <v>2139</v>
      </c>
      <c r="Q174" s="4">
        <f>Table1[[#This Row],[total sales]]-Table1[[#This Row],[total cost]]</f>
        <v>1221</v>
      </c>
      <c r="R174" s="6" t="s">
        <v>137</v>
      </c>
      <c r="S174" s="6" t="str">
        <f>_xlfn.CONCAT(Table1[[#This Row],[Sub_Category]],"-",Table1[[#This Row],[bike colour]])</f>
        <v>Road Bikes-red</v>
      </c>
    </row>
    <row r="175" spans="1:19" x14ac:dyDescent="0.3">
      <c r="A175" s="1">
        <v>44493</v>
      </c>
      <c r="B175">
        <v>24</v>
      </c>
      <c r="C175" t="s">
        <v>13</v>
      </c>
      <c r="D175">
        <v>2021</v>
      </c>
      <c r="E175">
        <v>27</v>
      </c>
      <c r="F175" t="s">
        <v>19</v>
      </c>
      <c r="G175" t="s">
        <v>120</v>
      </c>
      <c r="H175" t="s">
        <v>50</v>
      </c>
      <c r="I175" t="s">
        <v>96</v>
      </c>
      <c r="J175" t="s">
        <v>17</v>
      </c>
      <c r="K175" t="s">
        <v>41</v>
      </c>
      <c r="L175">
        <v>3</v>
      </c>
      <c r="M175" s="6">
        <v>713</v>
      </c>
      <c r="N175" s="6">
        <v>1120</v>
      </c>
      <c r="O175" s="6">
        <f>Table1[[#This Row],[Unit_Price]]*Table1[[#This Row],[Order_Quantity]]</f>
        <v>3360</v>
      </c>
      <c r="P175" s="6">
        <f>Table1[[#This Row],[Unit_Cost]]*Table1[[#This Row],[Order_Quantity]]</f>
        <v>2139</v>
      </c>
      <c r="Q175" s="4">
        <f>Table1[[#This Row],[total sales]]-Table1[[#This Row],[total cost]]</f>
        <v>1221</v>
      </c>
      <c r="R175" s="6" t="s">
        <v>138</v>
      </c>
      <c r="S175" s="6" t="str">
        <f>_xlfn.CONCAT(Table1[[#This Row],[Sub_Category]],"-",Table1[[#This Row],[bike colour]])</f>
        <v>Road Bikes-black</v>
      </c>
    </row>
    <row r="176" spans="1:19" x14ac:dyDescent="0.3">
      <c r="A176" s="1">
        <v>44493</v>
      </c>
      <c r="B176">
        <v>24</v>
      </c>
      <c r="C176" t="s">
        <v>13</v>
      </c>
      <c r="D176">
        <v>2021</v>
      </c>
      <c r="E176">
        <v>27</v>
      </c>
      <c r="F176" t="s">
        <v>19</v>
      </c>
      <c r="G176" t="s">
        <v>120</v>
      </c>
      <c r="H176" t="s">
        <v>23</v>
      </c>
      <c r="I176" t="s">
        <v>24</v>
      </c>
      <c r="J176" t="s">
        <v>17</v>
      </c>
      <c r="K176" t="s">
        <v>64</v>
      </c>
      <c r="L176">
        <v>2</v>
      </c>
      <c r="M176" s="6">
        <v>713</v>
      </c>
      <c r="N176" s="6">
        <v>1120</v>
      </c>
      <c r="O176" s="6">
        <f>Table1[[#This Row],[Unit_Price]]*Table1[[#This Row],[Order_Quantity]]</f>
        <v>2240</v>
      </c>
      <c r="P176" s="6">
        <f>Table1[[#This Row],[Unit_Cost]]*Table1[[#This Row],[Order_Quantity]]</f>
        <v>1426</v>
      </c>
      <c r="Q176" s="4">
        <f>Table1[[#This Row],[total sales]]-Table1[[#This Row],[total cost]]</f>
        <v>814</v>
      </c>
      <c r="R176" s="6" t="s">
        <v>136</v>
      </c>
      <c r="S176" s="6" t="str">
        <f>_xlfn.CONCAT(Table1[[#This Row],[Sub_Category]],"-",Table1[[#This Row],[bike colour]])</f>
        <v>Road Bikes-yellow</v>
      </c>
    </row>
    <row r="177" spans="1:19" x14ac:dyDescent="0.3">
      <c r="A177" s="1">
        <v>44493</v>
      </c>
      <c r="B177">
        <v>24</v>
      </c>
      <c r="C177" t="s">
        <v>13</v>
      </c>
      <c r="D177">
        <v>2021</v>
      </c>
      <c r="E177">
        <v>41</v>
      </c>
      <c r="F177" t="s">
        <v>14</v>
      </c>
      <c r="G177" t="s">
        <v>120</v>
      </c>
      <c r="H177" t="s">
        <v>20</v>
      </c>
      <c r="I177" t="s">
        <v>21</v>
      </c>
      <c r="J177" t="s">
        <v>25</v>
      </c>
      <c r="K177" t="s">
        <v>26</v>
      </c>
      <c r="L177">
        <v>2</v>
      </c>
      <c r="M177" s="6">
        <v>713</v>
      </c>
      <c r="N177" s="6">
        <v>1120</v>
      </c>
      <c r="O177" s="6">
        <f>Table1[[#This Row],[Unit_Price]]*Table1[[#This Row],[Order_Quantity]]</f>
        <v>2240</v>
      </c>
      <c r="P177" s="6">
        <f>Table1[[#This Row],[Unit_Cost]]*Table1[[#This Row],[Order_Quantity]]</f>
        <v>1426</v>
      </c>
      <c r="Q177" s="4">
        <f>Table1[[#This Row],[total sales]]-Table1[[#This Row],[total cost]]</f>
        <v>814</v>
      </c>
      <c r="R177" s="6" t="s">
        <v>138</v>
      </c>
      <c r="S177" s="6" t="str">
        <f>_xlfn.CONCAT(Table1[[#This Row],[Sub_Category]],"-",Table1[[#This Row],[bike colour]])</f>
        <v>Mountain Bikes-black</v>
      </c>
    </row>
    <row r="178" spans="1:19" x14ac:dyDescent="0.3">
      <c r="A178" s="1">
        <v>44493</v>
      </c>
      <c r="B178">
        <v>24</v>
      </c>
      <c r="C178" t="s">
        <v>13</v>
      </c>
      <c r="D178">
        <v>2021</v>
      </c>
      <c r="E178">
        <v>41</v>
      </c>
      <c r="F178" t="s">
        <v>14</v>
      </c>
      <c r="G178" t="s">
        <v>122</v>
      </c>
      <c r="H178" t="s">
        <v>27</v>
      </c>
      <c r="I178" t="s">
        <v>33</v>
      </c>
      <c r="J178" t="s">
        <v>25</v>
      </c>
      <c r="K178" t="s">
        <v>62</v>
      </c>
      <c r="L178">
        <v>2</v>
      </c>
      <c r="M178" s="6">
        <v>713</v>
      </c>
      <c r="N178" s="6">
        <v>1120</v>
      </c>
      <c r="O178" s="6">
        <f>Table1[[#This Row],[Unit_Price]]*Table1[[#This Row],[Order_Quantity]]</f>
        <v>2240</v>
      </c>
      <c r="P178" s="6">
        <f>Table1[[#This Row],[Unit_Cost]]*Table1[[#This Row],[Order_Quantity]]</f>
        <v>1426</v>
      </c>
      <c r="Q178" s="4">
        <f>Table1[[#This Row],[total sales]]-Table1[[#This Row],[total cost]]</f>
        <v>814</v>
      </c>
      <c r="R178" s="6" t="s">
        <v>139</v>
      </c>
      <c r="S178" s="6" t="str">
        <f>_xlfn.CONCAT(Table1[[#This Row],[Sub_Category]],"-",Table1[[#This Row],[bike colour]])</f>
        <v>Mountain Bikes-silver</v>
      </c>
    </row>
    <row r="179" spans="1:19" x14ac:dyDescent="0.3">
      <c r="A179" s="1">
        <v>44493</v>
      </c>
      <c r="B179">
        <v>24</v>
      </c>
      <c r="C179" t="s">
        <v>13</v>
      </c>
      <c r="D179">
        <v>2021</v>
      </c>
      <c r="E179">
        <v>27</v>
      </c>
      <c r="F179" t="s">
        <v>19</v>
      </c>
      <c r="G179" t="s">
        <v>122</v>
      </c>
      <c r="H179" t="s">
        <v>20</v>
      </c>
      <c r="I179" t="s">
        <v>21</v>
      </c>
      <c r="J179" t="s">
        <v>17</v>
      </c>
      <c r="K179" t="s">
        <v>22</v>
      </c>
      <c r="L179">
        <v>1</v>
      </c>
      <c r="M179" s="6">
        <v>713</v>
      </c>
      <c r="N179" s="6">
        <v>1120</v>
      </c>
      <c r="O179" s="6">
        <f>Table1[[#This Row],[Unit_Price]]*Table1[[#This Row],[Order_Quantity]]</f>
        <v>1120</v>
      </c>
      <c r="P179" s="6">
        <f>Table1[[#This Row],[Unit_Cost]]*Table1[[#This Row],[Order_Quantity]]</f>
        <v>713</v>
      </c>
      <c r="Q179" s="4">
        <f>Table1[[#This Row],[total sales]]-Table1[[#This Row],[total cost]]</f>
        <v>407</v>
      </c>
      <c r="R179" s="6" t="s">
        <v>137</v>
      </c>
      <c r="S179" s="6" t="str">
        <f>_xlfn.CONCAT(Table1[[#This Row],[Sub_Category]],"-",Table1[[#This Row],[bike colour]])</f>
        <v>Road Bikes-red</v>
      </c>
    </row>
    <row r="180" spans="1:19" x14ac:dyDescent="0.3">
      <c r="A180" s="1">
        <v>44493</v>
      </c>
      <c r="B180">
        <v>24</v>
      </c>
      <c r="C180" t="s">
        <v>13</v>
      </c>
      <c r="D180">
        <v>2021</v>
      </c>
      <c r="E180">
        <v>30</v>
      </c>
      <c r="F180" t="s">
        <v>19</v>
      </c>
      <c r="G180" t="s">
        <v>120</v>
      </c>
      <c r="H180" t="s">
        <v>27</v>
      </c>
      <c r="I180" t="s">
        <v>33</v>
      </c>
      <c r="J180" t="s">
        <v>25</v>
      </c>
      <c r="K180" t="s">
        <v>31</v>
      </c>
      <c r="L180">
        <v>1</v>
      </c>
      <c r="M180" s="6">
        <v>713</v>
      </c>
      <c r="N180" s="6">
        <v>1120</v>
      </c>
      <c r="O180" s="6">
        <f>Table1[[#This Row],[Unit_Price]]*Table1[[#This Row],[Order_Quantity]]</f>
        <v>1120</v>
      </c>
      <c r="P180" s="6">
        <f>Table1[[#This Row],[Unit_Cost]]*Table1[[#This Row],[Order_Quantity]]</f>
        <v>713</v>
      </c>
      <c r="Q180" s="4">
        <f>Table1[[#This Row],[total sales]]-Table1[[#This Row],[total cost]]</f>
        <v>407</v>
      </c>
      <c r="R180" s="6" t="s">
        <v>139</v>
      </c>
      <c r="S180" s="6" t="str">
        <f>_xlfn.CONCAT(Table1[[#This Row],[Sub_Category]],"-",Table1[[#This Row],[bike colour]])</f>
        <v>Mountain Bikes-silver</v>
      </c>
    </row>
    <row r="181" spans="1:19" x14ac:dyDescent="0.3">
      <c r="A181" s="1">
        <v>44493</v>
      </c>
      <c r="B181">
        <v>24</v>
      </c>
      <c r="C181" t="s">
        <v>13</v>
      </c>
      <c r="D181">
        <v>2021</v>
      </c>
      <c r="E181">
        <v>39</v>
      </c>
      <c r="F181" t="s">
        <v>14</v>
      </c>
      <c r="G181" t="s">
        <v>120</v>
      </c>
      <c r="H181" t="s">
        <v>27</v>
      </c>
      <c r="I181" t="s">
        <v>45</v>
      </c>
      <c r="J181" t="s">
        <v>17</v>
      </c>
      <c r="K181" t="s">
        <v>35</v>
      </c>
      <c r="L181">
        <v>1</v>
      </c>
      <c r="M181" s="6">
        <v>713</v>
      </c>
      <c r="N181" s="6">
        <v>1120</v>
      </c>
      <c r="O181" s="6">
        <f>Table1[[#This Row],[Unit_Price]]*Table1[[#This Row],[Order_Quantity]]</f>
        <v>1120</v>
      </c>
      <c r="P181" s="6">
        <f>Table1[[#This Row],[Unit_Cost]]*Table1[[#This Row],[Order_Quantity]]</f>
        <v>713</v>
      </c>
      <c r="Q181" s="4">
        <f>Table1[[#This Row],[total sales]]-Table1[[#This Row],[total cost]]</f>
        <v>407</v>
      </c>
      <c r="R181" s="6" t="s">
        <v>137</v>
      </c>
      <c r="S181" s="6" t="str">
        <f>_xlfn.CONCAT(Table1[[#This Row],[Sub_Category]],"-",Table1[[#This Row],[bike colour]])</f>
        <v>Road Bikes-red</v>
      </c>
    </row>
    <row r="182" spans="1:19" x14ac:dyDescent="0.3">
      <c r="A182" s="1">
        <v>44493</v>
      </c>
      <c r="B182">
        <v>24</v>
      </c>
      <c r="C182" t="s">
        <v>13</v>
      </c>
      <c r="D182">
        <v>2021</v>
      </c>
      <c r="E182">
        <v>44</v>
      </c>
      <c r="F182" t="s">
        <v>14</v>
      </c>
      <c r="G182" t="s">
        <v>120</v>
      </c>
      <c r="H182" t="s">
        <v>27</v>
      </c>
      <c r="I182" t="s">
        <v>28</v>
      </c>
      <c r="J182" t="s">
        <v>25</v>
      </c>
      <c r="K182" t="s">
        <v>67</v>
      </c>
      <c r="L182">
        <v>1</v>
      </c>
      <c r="M182" s="6">
        <v>713</v>
      </c>
      <c r="N182" s="6">
        <v>1120</v>
      </c>
      <c r="O182" s="6">
        <f>Table1[[#This Row],[Unit_Price]]*Table1[[#This Row],[Order_Quantity]]</f>
        <v>1120</v>
      </c>
      <c r="P182" s="6">
        <f>Table1[[#This Row],[Unit_Cost]]*Table1[[#This Row],[Order_Quantity]]</f>
        <v>713</v>
      </c>
      <c r="Q182" s="4">
        <f>Table1[[#This Row],[total sales]]-Table1[[#This Row],[total cost]]</f>
        <v>407</v>
      </c>
      <c r="R182" s="6" t="s">
        <v>139</v>
      </c>
      <c r="S182" s="6" t="str">
        <f>_xlfn.CONCAT(Table1[[#This Row],[Sub_Category]],"-",Table1[[#This Row],[bike colour]])</f>
        <v>Mountain Bikes-silver</v>
      </c>
    </row>
    <row r="183" spans="1:19" x14ac:dyDescent="0.3">
      <c r="A183" s="1">
        <v>44494</v>
      </c>
      <c r="B183">
        <v>25</v>
      </c>
      <c r="C183" t="s">
        <v>13</v>
      </c>
      <c r="D183">
        <v>2021</v>
      </c>
      <c r="E183">
        <v>28</v>
      </c>
      <c r="F183" t="s">
        <v>19</v>
      </c>
      <c r="G183" t="s">
        <v>122</v>
      </c>
      <c r="H183" t="s">
        <v>27</v>
      </c>
      <c r="I183" t="s">
        <v>45</v>
      </c>
      <c r="J183" t="s">
        <v>25</v>
      </c>
      <c r="K183" t="s">
        <v>26</v>
      </c>
      <c r="L183">
        <v>4</v>
      </c>
      <c r="M183" s="6">
        <v>713</v>
      </c>
      <c r="N183" s="6">
        <v>1120</v>
      </c>
      <c r="O183" s="6">
        <f>Table1[[#This Row],[Unit_Price]]*Table1[[#This Row],[Order_Quantity]]</f>
        <v>4480</v>
      </c>
      <c r="P183" s="6">
        <f>Table1[[#This Row],[Unit_Cost]]*Table1[[#This Row],[Order_Quantity]]</f>
        <v>2852</v>
      </c>
      <c r="Q183" s="4">
        <f>Table1[[#This Row],[total sales]]-Table1[[#This Row],[total cost]]</f>
        <v>1628</v>
      </c>
      <c r="R183" s="6" t="s">
        <v>138</v>
      </c>
      <c r="S183" s="6" t="str">
        <f>_xlfn.CONCAT(Table1[[#This Row],[Sub_Category]],"-",Table1[[#This Row],[bike colour]])</f>
        <v>Mountain Bikes-black</v>
      </c>
    </row>
    <row r="184" spans="1:19" x14ac:dyDescent="0.3">
      <c r="A184" s="1">
        <v>44494</v>
      </c>
      <c r="B184">
        <v>25</v>
      </c>
      <c r="C184" t="s">
        <v>13</v>
      </c>
      <c r="D184">
        <v>2021</v>
      </c>
      <c r="E184">
        <v>31</v>
      </c>
      <c r="F184" t="s">
        <v>19</v>
      </c>
      <c r="G184" t="s">
        <v>120</v>
      </c>
      <c r="H184" t="s">
        <v>27</v>
      </c>
      <c r="I184" t="s">
        <v>45</v>
      </c>
      <c r="J184" t="s">
        <v>25</v>
      </c>
      <c r="K184" t="s">
        <v>61</v>
      </c>
      <c r="L184">
        <v>4</v>
      </c>
      <c r="M184" s="6">
        <v>713</v>
      </c>
      <c r="N184" s="6">
        <v>1120</v>
      </c>
      <c r="O184" s="6">
        <f>Table1[[#This Row],[Unit_Price]]*Table1[[#This Row],[Order_Quantity]]</f>
        <v>4480</v>
      </c>
      <c r="P184" s="6">
        <f>Table1[[#This Row],[Unit_Cost]]*Table1[[#This Row],[Order_Quantity]]</f>
        <v>2852</v>
      </c>
      <c r="Q184" s="4">
        <f>Table1[[#This Row],[total sales]]-Table1[[#This Row],[total cost]]</f>
        <v>1628</v>
      </c>
      <c r="R184" s="6" t="s">
        <v>138</v>
      </c>
      <c r="S184" s="6" t="str">
        <f>_xlfn.CONCAT(Table1[[#This Row],[Sub_Category]],"-",Table1[[#This Row],[bike colour]])</f>
        <v>Mountain Bikes-black</v>
      </c>
    </row>
    <row r="185" spans="1:19" x14ac:dyDescent="0.3">
      <c r="A185" s="1">
        <v>44494</v>
      </c>
      <c r="B185">
        <v>25</v>
      </c>
      <c r="C185" t="s">
        <v>13</v>
      </c>
      <c r="D185">
        <v>2021</v>
      </c>
      <c r="E185">
        <v>32</v>
      </c>
      <c r="F185" t="s">
        <v>19</v>
      </c>
      <c r="G185" t="s">
        <v>120</v>
      </c>
      <c r="H185" t="s">
        <v>15</v>
      </c>
      <c r="I185" t="s">
        <v>16</v>
      </c>
      <c r="J185" t="s">
        <v>25</v>
      </c>
      <c r="K185" t="s">
        <v>62</v>
      </c>
      <c r="L185">
        <v>4</v>
      </c>
      <c r="M185" s="6">
        <v>713</v>
      </c>
      <c r="N185" s="6">
        <v>1120</v>
      </c>
      <c r="O185" s="6">
        <f>Table1[[#This Row],[Unit_Price]]*Table1[[#This Row],[Order_Quantity]]</f>
        <v>4480</v>
      </c>
      <c r="P185" s="6">
        <f>Table1[[#This Row],[Unit_Cost]]*Table1[[#This Row],[Order_Quantity]]</f>
        <v>2852</v>
      </c>
      <c r="Q185" s="4">
        <f>Table1[[#This Row],[total sales]]-Table1[[#This Row],[total cost]]</f>
        <v>1628</v>
      </c>
      <c r="R185" s="6" t="s">
        <v>139</v>
      </c>
      <c r="S185" s="6" t="str">
        <f>_xlfn.CONCAT(Table1[[#This Row],[Sub_Category]],"-",Table1[[#This Row],[bike colour]])</f>
        <v>Mountain Bikes-silver</v>
      </c>
    </row>
    <row r="186" spans="1:19" x14ac:dyDescent="0.3">
      <c r="A186" s="1">
        <v>44494</v>
      </c>
      <c r="B186">
        <v>25</v>
      </c>
      <c r="C186" t="s">
        <v>13</v>
      </c>
      <c r="D186">
        <v>2021</v>
      </c>
      <c r="E186">
        <v>23</v>
      </c>
      <c r="F186" t="s">
        <v>49</v>
      </c>
      <c r="G186" t="s">
        <v>122</v>
      </c>
      <c r="H186" t="s">
        <v>50</v>
      </c>
      <c r="I186" t="s">
        <v>94</v>
      </c>
      <c r="J186" t="s">
        <v>25</v>
      </c>
      <c r="K186" t="s">
        <v>26</v>
      </c>
      <c r="L186">
        <v>3</v>
      </c>
      <c r="M186" s="6">
        <v>713</v>
      </c>
      <c r="N186" s="6">
        <v>1120</v>
      </c>
      <c r="O186" s="6">
        <f>Table1[[#This Row],[Unit_Price]]*Table1[[#This Row],[Order_Quantity]]</f>
        <v>3360</v>
      </c>
      <c r="P186" s="6">
        <f>Table1[[#This Row],[Unit_Cost]]*Table1[[#This Row],[Order_Quantity]]</f>
        <v>2139</v>
      </c>
      <c r="Q186" s="4">
        <f>Table1[[#This Row],[total sales]]-Table1[[#This Row],[total cost]]</f>
        <v>1221</v>
      </c>
      <c r="R186" s="6" t="s">
        <v>138</v>
      </c>
      <c r="S186" s="6" t="str">
        <f>_xlfn.CONCAT(Table1[[#This Row],[Sub_Category]],"-",Table1[[#This Row],[bike colour]])</f>
        <v>Mountain Bikes-black</v>
      </c>
    </row>
    <row r="187" spans="1:19" x14ac:dyDescent="0.3">
      <c r="A187" s="1">
        <v>44494</v>
      </c>
      <c r="B187">
        <v>25</v>
      </c>
      <c r="C187" t="s">
        <v>13</v>
      </c>
      <c r="D187">
        <v>2021</v>
      </c>
      <c r="E187">
        <v>41</v>
      </c>
      <c r="F187" t="s">
        <v>14</v>
      </c>
      <c r="G187" t="s">
        <v>122</v>
      </c>
      <c r="H187" t="s">
        <v>42</v>
      </c>
      <c r="I187" t="s">
        <v>58</v>
      </c>
      <c r="J187" t="s">
        <v>17</v>
      </c>
      <c r="K187" t="s">
        <v>18</v>
      </c>
      <c r="L187">
        <v>2</v>
      </c>
      <c r="M187" s="6">
        <v>713</v>
      </c>
      <c r="N187" s="6">
        <v>1120</v>
      </c>
      <c r="O187" s="6">
        <f>Table1[[#This Row],[Unit_Price]]*Table1[[#This Row],[Order_Quantity]]</f>
        <v>2240</v>
      </c>
      <c r="P187" s="6">
        <f>Table1[[#This Row],[Unit_Cost]]*Table1[[#This Row],[Order_Quantity]]</f>
        <v>1426</v>
      </c>
      <c r="Q187" s="4">
        <f>Table1[[#This Row],[total sales]]-Table1[[#This Row],[total cost]]</f>
        <v>814</v>
      </c>
      <c r="R187" s="6" t="s">
        <v>136</v>
      </c>
      <c r="S187" s="6" t="str">
        <f>_xlfn.CONCAT(Table1[[#This Row],[Sub_Category]],"-",Table1[[#This Row],[bike colour]])</f>
        <v>Road Bikes-yellow</v>
      </c>
    </row>
    <row r="188" spans="1:19" x14ac:dyDescent="0.3">
      <c r="A188" s="1">
        <v>44494</v>
      </c>
      <c r="B188">
        <v>25</v>
      </c>
      <c r="C188" t="s">
        <v>13</v>
      </c>
      <c r="D188">
        <v>2021</v>
      </c>
      <c r="E188">
        <v>24</v>
      </c>
      <c r="F188" t="s">
        <v>49</v>
      </c>
      <c r="G188" t="s">
        <v>120</v>
      </c>
      <c r="H188" t="s">
        <v>27</v>
      </c>
      <c r="I188" t="s">
        <v>28</v>
      </c>
      <c r="J188" t="s">
        <v>17</v>
      </c>
      <c r="K188" t="s">
        <v>81</v>
      </c>
      <c r="L188">
        <v>1</v>
      </c>
      <c r="M188" s="6">
        <v>713</v>
      </c>
      <c r="N188" s="6">
        <v>1120</v>
      </c>
      <c r="O188" s="6">
        <f>Table1[[#This Row],[Unit_Price]]*Table1[[#This Row],[Order_Quantity]]</f>
        <v>1120</v>
      </c>
      <c r="P188" s="6">
        <f>Table1[[#This Row],[Unit_Cost]]*Table1[[#This Row],[Order_Quantity]]</f>
        <v>713</v>
      </c>
      <c r="Q188" s="4">
        <f>Table1[[#This Row],[total sales]]-Table1[[#This Row],[total cost]]</f>
        <v>407</v>
      </c>
      <c r="R188" s="6" t="s">
        <v>136</v>
      </c>
      <c r="S188" s="6" t="str">
        <f>_xlfn.CONCAT(Table1[[#This Row],[Sub_Category]],"-",Table1[[#This Row],[bike colour]])</f>
        <v>Road Bikes-yellow</v>
      </c>
    </row>
    <row r="189" spans="1:19" x14ac:dyDescent="0.3">
      <c r="A189" s="1">
        <v>44494</v>
      </c>
      <c r="B189">
        <v>25</v>
      </c>
      <c r="C189" t="s">
        <v>13</v>
      </c>
      <c r="D189">
        <v>2021</v>
      </c>
      <c r="E189">
        <v>37</v>
      </c>
      <c r="F189" t="s">
        <v>14</v>
      </c>
      <c r="G189" t="s">
        <v>120</v>
      </c>
      <c r="H189" t="s">
        <v>20</v>
      </c>
      <c r="I189" t="s">
        <v>21</v>
      </c>
      <c r="J189" t="s">
        <v>17</v>
      </c>
      <c r="K189" t="s">
        <v>88</v>
      </c>
      <c r="L189">
        <v>1</v>
      </c>
      <c r="M189" s="6">
        <v>713</v>
      </c>
      <c r="N189" s="6">
        <v>1120</v>
      </c>
      <c r="O189" s="6">
        <f>Table1[[#This Row],[Unit_Price]]*Table1[[#This Row],[Order_Quantity]]</f>
        <v>1120</v>
      </c>
      <c r="P189" s="6">
        <f>Table1[[#This Row],[Unit_Cost]]*Table1[[#This Row],[Order_Quantity]]</f>
        <v>713</v>
      </c>
      <c r="Q189" s="4">
        <f>Table1[[#This Row],[total sales]]-Table1[[#This Row],[total cost]]</f>
        <v>407</v>
      </c>
      <c r="R189" s="6" t="s">
        <v>137</v>
      </c>
      <c r="S189" s="6" t="str">
        <f>_xlfn.CONCAT(Table1[[#This Row],[Sub_Category]],"-",Table1[[#This Row],[bike colour]])</f>
        <v>Road Bikes-red</v>
      </c>
    </row>
    <row r="190" spans="1:19" x14ac:dyDescent="0.3">
      <c r="A190" s="1">
        <v>44495</v>
      </c>
      <c r="B190">
        <v>26</v>
      </c>
      <c r="C190" t="s">
        <v>13</v>
      </c>
      <c r="D190">
        <v>2021</v>
      </c>
      <c r="E190">
        <v>40</v>
      </c>
      <c r="F190" t="s">
        <v>14</v>
      </c>
      <c r="G190" t="s">
        <v>122</v>
      </c>
      <c r="H190" t="s">
        <v>27</v>
      </c>
      <c r="I190" t="s">
        <v>45</v>
      </c>
      <c r="J190" t="s">
        <v>25</v>
      </c>
      <c r="K190" t="s">
        <v>34</v>
      </c>
      <c r="L190">
        <v>3</v>
      </c>
      <c r="M190" s="6">
        <v>713</v>
      </c>
      <c r="N190" s="6">
        <v>1120</v>
      </c>
      <c r="O190" s="6">
        <f>Table1[[#This Row],[Unit_Price]]*Table1[[#This Row],[Order_Quantity]]</f>
        <v>3360</v>
      </c>
      <c r="P190" s="6">
        <f>Table1[[#This Row],[Unit_Cost]]*Table1[[#This Row],[Order_Quantity]]</f>
        <v>2139</v>
      </c>
      <c r="Q190" s="4">
        <f>Table1[[#This Row],[total sales]]-Table1[[#This Row],[total cost]]</f>
        <v>1221</v>
      </c>
      <c r="R190" s="6" t="s">
        <v>138</v>
      </c>
      <c r="S190" s="6" t="str">
        <f>_xlfn.CONCAT(Table1[[#This Row],[Sub_Category]],"-",Table1[[#This Row],[bike colour]])</f>
        <v>Mountain Bikes-black</v>
      </c>
    </row>
    <row r="191" spans="1:19" x14ac:dyDescent="0.3">
      <c r="A191" s="1">
        <v>44495</v>
      </c>
      <c r="B191">
        <v>26</v>
      </c>
      <c r="C191" t="s">
        <v>13</v>
      </c>
      <c r="D191">
        <v>2021</v>
      </c>
      <c r="E191">
        <v>27</v>
      </c>
      <c r="F191" t="s">
        <v>19</v>
      </c>
      <c r="G191" t="s">
        <v>122</v>
      </c>
      <c r="H191" t="s">
        <v>23</v>
      </c>
      <c r="I191" t="s">
        <v>24</v>
      </c>
      <c r="J191" t="s">
        <v>25</v>
      </c>
      <c r="K191" t="s">
        <v>92</v>
      </c>
      <c r="L191">
        <v>2</v>
      </c>
      <c r="M191" s="6">
        <v>713</v>
      </c>
      <c r="N191" s="6">
        <v>1120</v>
      </c>
      <c r="O191" s="6">
        <f>Table1[[#This Row],[Unit_Price]]*Table1[[#This Row],[Order_Quantity]]</f>
        <v>2240</v>
      </c>
      <c r="P191" s="6">
        <f>Table1[[#This Row],[Unit_Cost]]*Table1[[#This Row],[Order_Quantity]]</f>
        <v>1426</v>
      </c>
      <c r="Q191" s="4">
        <f>Table1[[#This Row],[total sales]]-Table1[[#This Row],[total cost]]</f>
        <v>814</v>
      </c>
      <c r="R191" s="6" t="s">
        <v>139</v>
      </c>
      <c r="S191" s="6" t="str">
        <f>_xlfn.CONCAT(Table1[[#This Row],[Sub_Category]],"-",Table1[[#This Row],[bike colour]])</f>
        <v>Mountain Bikes-silver</v>
      </c>
    </row>
    <row r="192" spans="1:19" x14ac:dyDescent="0.3">
      <c r="A192" s="1">
        <v>44495</v>
      </c>
      <c r="B192">
        <v>26</v>
      </c>
      <c r="C192" t="s">
        <v>13</v>
      </c>
      <c r="D192">
        <v>2021</v>
      </c>
      <c r="E192">
        <v>23</v>
      </c>
      <c r="F192" t="s">
        <v>49</v>
      </c>
      <c r="G192" t="s">
        <v>120</v>
      </c>
      <c r="H192" t="s">
        <v>27</v>
      </c>
      <c r="I192" t="s">
        <v>33</v>
      </c>
      <c r="J192" t="s">
        <v>17</v>
      </c>
      <c r="K192" t="s">
        <v>36</v>
      </c>
      <c r="L192">
        <v>1</v>
      </c>
      <c r="M192" s="6">
        <v>713</v>
      </c>
      <c r="N192" s="6">
        <v>1120</v>
      </c>
      <c r="O192" s="6">
        <f>Table1[[#This Row],[Unit_Price]]*Table1[[#This Row],[Order_Quantity]]</f>
        <v>1120</v>
      </c>
      <c r="P192" s="6">
        <f>Table1[[#This Row],[Unit_Cost]]*Table1[[#This Row],[Order_Quantity]]</f>
        <v>713</v>
      </c>
      <c r="Q192" s="4">
        <f>Table1[[#This Row],[total sales]]-Table1[[#This Row],[total cost]]</f>
        <v>407</v>
      </c>
      <c r="R192" s="6" t="s">
        <v>136</v>
      </c>
      <c r="S192" s="6" t="str">
        <f>_xlfn.CONCAT(Table1[[#This Row],[Sub_Category]],"-",Table1[[#This Row],[bike colour]])</f>
        <v>Road Bikes-yellow</v>
      </c>
    </row>
    <row r="193" spans="1:19" x14ac:dyDescent="0.3">
      <c r="A193" s="1">
        <v>44495</v>
      </c>
      <c r="B193">
        <v>26</v>
      </c>
      <c r="C193" t="s">
        <v>13</v>
      </c>
      <c r="D193">
        <v>2021</v>
      </c>
      <c r="E193">
        <v>32</v>
      </c>
      <c r="F193" t="s">
        <v>19</v>
      </c>
      <c r="G193" t="s">
        <v>122</v>
      </c>
      <c r="H193" t="s">
        <v>50</v>
      </c>
      <c r="I193" t="s">
        <v>94</v>
      </c>
      <c r="J193" t="s">
        <v>17</v>
      </c>
      <c r="K193" t="s">
        <v>54</v>
      </c>
      <c r="L193">
        <v>1</v>
      </c>
      <c r="M193" s="6">
        <v>713</v>
      </c>
      <c r="N193" s="6">
        <v>1120</v>
      </c>
      <c r="O193" s="6">
        <f>Table1[[#This Row],[Unit_Price]]*Table1[[#This Row],[Order_Quantity]]</f>
        <v>1120</v>
      </c>
      <c r="P193" s="6">
        <f>Table1[[#This Row],[Unit_Cost]]*Table1[[#This Row],[Order_Quantity]]</f>
        <v>713</v>
      </c>
      <c r="Q193" s="4">
        <f>Table1[[#This Row],[total sales]]-Table1[[#This Row],[total cost]]</f>
        <v>407</v>
      </c>
      <c r="R193" s="6" t="s">
        <v>137</v>
      </c>
      <c r="S193" s="6" t="str">
        <f>_xlfn.CONCAT(Table1[[#This Row],[Sub_Category]],"-",Table1[[#This Row],[bike colour]])</f>
        <v>Road Bikes-red</v>
      </c>
    </row>
    <row r="194" spans="1:19" x14ac:dyDescent="0.3">
      <c r="A194" s="1">
        <v>44495</v>
      </c>
      <c r="B194">
        <v>26</v>
      </c>
      <c r="C194" t="s">
        <v>13</v>
      </c>
      <c r="D194">
        <v>2021</v>
      </c>
      <c r="E194">
        <v>37</v>
      </c>
      <c r="F194" t="s">
        <v>14</v>
      </c>
      <c r="G194" t="s">
        <v>120</v>
      </c>
      <c r="H194" t="s">
        <v>15</v>
      </c>
      <c r="I194" t="s">
        <v>82</v>
      </c>
      <c r="J194" t="s">
        <v>17</v>
      </c>
      <c r="K194" t="s">
        <v>81</v>
      </c>
      <c r="L194">
        <v>1</v>
      </c>
      <c r="M194" s="6">
        <v>713</v>
      </c>
      <c r="N194" s="6">
        <v>1120</v>
      </c>
      <c r="O194" s="6">
        <f>Table1[[#This Row],[Unit_Price]]*Table1[[#This Row],[Order_Quantity]]</f>
        <v>1120</v>
      </c>
      <c r="P194" s="6">
        <f>Table1[[#This Row],[Unit_Cost]]*Table1[[#This Row],[Order_Quantity]]</f>
        <v>713</v>
      </c>
      <c r="Q194" s="4">
        <f>Table1[[#This Row],[total sales]]-Table1[[#This Row],[total cost]]</f>
        <v>407</v>
      </c>
      <c r="R194" s="6" t="s">
        <v>136</v>
      </c>
      <c r="S194" s="6" t="str">
        <f>_xlfn.CONCAT(Table1[[#This Row],[Sub_Category]],"-",Table1[[#This Row],[bike colour]])</f>
        <v>Road Bikes-yellow</v>
      </c>
    </row>
    <row r="195" spans="1:19" x14ac:dyDescent="0.3">
      <c r="A195" s="1">
        <v>44495</v>
      </c>
      <c r="B195">
        <v>26</v>
      </c>
      <c r="C195" t="s">
        <v>13</v>
      </c>
      <c r="D195">
        <v>2021</v>
      </c>
      <c r="E195">
        <v>46</v>
      </c>
      <c r="F195" t="s">
        <v>14</v>
      </c>
      <c r="G195" t="s">
        <v>120</v>
      </c>
      <c r="H195" t="s">
        <v>27</v>
      </c>
      <c r="I195" t="s">
        <v>45</v>
      </c>
      <c r="J195" t="s">
        <v>17</v>
      </c>
      <c r="K195" t="s">
        <v>41</v>
      </c>
      <c r="L195">
        <v>1</v>
      </c>
      <c r="M195" s="6">
        <v>713</v>
      </c>
      <c r="N195" s="6">
        <v>1120</v>
      </c>
      <c r="O195" s="6">
        <f>Table1[[#This Row],[Unit_Price]]*Table1[[#This Row],[Order_Quantity]]</f>
        <v>1120</v>
      </c>
      <c r="P195" s="6">
        <f>Table1[[#This Row],[Unit_Cost]]*Table1[[#This Row],[Order_Quantity]]</f>
        <v>713</v>
      </c>
      <c r="Q195" s="4">
        <f>Table1[[#This Row],[total sales]]-Table1[[#This Row],[total cost]]</f>
        <v>407</v>
      </c>
      <c r="R195" s="6" t="s">
        <v>138</v>
      </c>
      <c r="S195" s="6" t="str">
        <f>_xlfn.CONCAT(Table1[[#This Row],[Sub_Category]],"-",Table1[[#This Row],[bike colour]])</f>
        <v>Road Bikes-black</v>
      </c>
    </row>
    <row r="196" spans="1:19" x14ac:dyDescent="0.3">
      <c r="A196" s="1">
        <v>44495</v>
      </c>
      <c r="B196">
        <v>26</v>
      </c>
      <c r="C196" t="s">
        <v>13</v>
      </c>
      <c r="D196">
        <v>2021</v>
      </c>
      <c r="E196">
        <v>47</v>
      </c>
      <c r="F196" t="s">
        <v>14</v>
      </c>
      <c r="G196" t="s">
        <v>120</v>
      </c>
      <c r="H196" t="s">
        <v>50</v>
      </c>
      <c r="I196" t="s">
        <v>53</v>
      </c>
      <c r="J196" t="s">
        <v>17</v>
      </c>
      <c r="K196" t="s">
        <v>85</v>
      </c>
      <c r="L196">
        <v>1</v>
      </c>
      <c r="M196" s="6">
        <v>713</v>
      </c>
      <c r="N196" s="6">
        <v>1120</v>
      </c>
      <c r="O196" s="6">
        <f>Table1[[#This Row],[Unit_Price]]*Table1[[#This Row],[Order_Quantity]]</f>
        <v>1120</v>
      </c>
      <c r="P196" s="6">
        <f>Table1[[#This Row],[Unit_Cost]]*Table1[[#This Row],[Order_Quantity]]</f>
        <v>713</v>
      </c>
      <c r="Q196" s="4">
        <f>Table1[[#This Row],[total sales]]-Table1[[#This Row],[total cost]]</f>
        <v>407</v>
      </c>
      <c r="R196" s="6" t="s">
        <v>137</v>
      </c>
      <c r="S196" s="6" t="str">
        <f>_xlfn.CONCAT(Table1[[#This Row],[Sub_Category]],"-",Table1[[#This Row],[bike colour]])</f>
        <v>Road Bikes-red</v>
      </c>
    </row>
    <row r="197" spans="1:19" x14ac:dyDescent="0.3">
      <c r="A197" s="1">
        <v>44495</v>
      </c>
      <c r="B197">
        <v>26</v>
      </c>
      <c r="C197" t="s">
        <v>13</v>
      </c>
      <c r="D197">
        <v>2021</v>
      </c>
      <c r="E197">
        <v>51</v>
      </c>
      <c r="F197" t="s">
        <v>14</v>
      </c>
      <c r="G197" t="s">
        <v>120</v>
      </c>
      <c r="H197" t="s">
        <v>15</v>
      </c>
      <c r="I197" t="s">
        <v>16</v>
      </c>
      <c r="J197" t="s">
        <v>25</v>
      </c>
      <c r="K197" t="s">
        <v>97</v>
      </c>
      <c r="L197">
        <v>1</v>
      </c>
      <c r="M197" s="6">
        <v>713</v>
      </c>
      <c r="N197" s="6">
        <v>1120</v>
      </c>
      <c r="O197" s="6">
        <f>Table1[[#This Row],[Unit_Price]]*Table1[[#This Row],[Order_Quantity]]</f>
        <v>1120</v>
      </c>
      <c r="P197" s="6">
        <f>Table1[[#This Row],[Unit_Cost]]*Table1[[#This Row],[Order_Quantity]]</f>
        <v>713</v>
      </c>
      <c r="Q197" s="4">
        <f>Table1[[#This Row],[total sales]]-Table1[[#This Row],[total cost]]</f>
        <v>407</v>
      </c>
      <c r="R197" s="6" t="s">
        <v>139</v>
      </c>
      <c r="S197" s="6" t="str">
        <f>_xlfn.CONCAT(Table1[[#This Row],[Sub_Category]],"-",Table1[[#This Row],[bike colour]])</f>
        <v>Mountain Bikes-silver</v>
      </c>
    </row>
    <row r="198" spans="1:19" x14ac:dyDescent="0.3">
      <c r="A198" s="1">
        <v>44495</v>
      </c>
      <c r="B198">
        <v>26</v>
      </c>
      <c r="C198" t="s">
        <v>13</v>
      </c>
      <c r="D198">
        <v>2021</v>
      </c>
      <c r="E198">
        <v>57</v>
      </c>
      <c r="F198" t="s">
        <v>14</v>
      </c>
      <c r="G198" t="s">
        <v>122</v>
      </c>
      <c r="H198" t="s">
        <v>27</v>
      </c>
      <c r="I198" t="s">
        <v>28</v>
      </c>
      <c r="J198" t="s">
        <v>17</v>
      </c>
      <c r="K198" t="s">
        <v>81</v>
      </c>
      <c r="L198">
        <v>1</v>
      </c>
      <c r="M198" s="6">
        <v>713</v>
      </c>
      <c r="N198" s="6">
        <v>1120</v>
      </c>
      <c r="O198" s="6">
        <f>Table1[[#This Row],[Unit_Price]]*Table1[[#This Row],[Order_Quantity]]</f>
        <v>1120</v>
      </c>
      <c r="P198" s="6">
        <f>Table1[[#This Row],[Unit_Cost]]*Table1[[#This Row],[Order_Quantity]]</f>
        <v>713</v>
      </c>
      <c r="Q198" s="4">
        <f>Table1[[#This Row],[total sales]]-Table1[[#This Row],[total cost]]</f>
        <v>407</v>
      </c>
      <c r="R198" s="6" t="s">
        <v>136</v>
      </c>
      <c r="S198" s="6" t="str">
        <f>_xlfn.CONCAT(Table1[[#This Row],[Sub_Category]],"-",Table1[[#This Row],[bike colour]])</f>
        <v>Road Bikes-yellow</v>
      </c>
    </row>
    <row r="199" spans="1:19" x14ac:dyDescent="0.3">
      <c r="A199" s="1">
        <v>44496</v>
      </c>
      <c r="B199">
        <v>27</v>
      </c>
      <c r="C199" t="s">
        <v>13</v>
      </c>
      <c r="D199">
        <v>2021</v>
      </c>
      <c r="E199">
        <v>47</v>
      </c>
      <c r="F199" t="s">
        <v>14</v>
      </c>
      <c r="G199" t="s">
        <v>122</v>
      </c>
      <c r="H199" t="s">
        <v>20</v>
      </c>
      <c r="I199" t="s">
        <v>21</v>
      </c>
      <c r="J199" t="s">
        <v>17</v>
      </c>
      <c r="K199" t="s">
        <v>73</v>
      </c>
      <c r="L199">
        <v>3</v>
      </c>
      <c r="M199" s="6">
        <v>713</v>
      </c>
      <c r="N199" s="6">
        <v>1120</v>
      </c>
      <c r="O199" s="6">
        <f>Table1[[#This Row],[Unit_Price]]*Table1[[#This Row],[Order_Quantity]]</f>
        <v>3360</v>
      </c>
      <c r="P199" s="6">
        <f>Table1[[#This Row],[Unit_Cost]]*Table1[[#This Row],[Order_Quantity]]</f>
        <v>2139</v>
      </c>
      <c r="Q199" s="4">
        <f>Table1[[#This Row],[total sales]]-Table1[[#This Row],[total cost]]</f>
        <v>1221</v>
      </c>
      <c r="R199" s="6" t="s">
        <v>138</v>
      </c>
      <c r="S199" s="6" t="str">
        <f>_xlfn.CONCAT(Table1[[#This Row],[Sub_Category]],"-",Table1[[#This Row],[bike colour]])</f>
        <v>Road Bikes-black</v>
      </c>
    </row>
    <row r="200" spans="1:19" x14ac:dyDescent="0.3">
      <c r="A200" s="1">
        <v>44496</v>
      </c>
      <c r="B200">
        <v>27</v>
      </c>
      <c r="C200" t="s">
        <v>13</v>
      </c>
      <c r="D200">
        <v>2021</v>
      </c>
      <c r="E200">
        <v>30</v>
      </c>
      <c r="F200" t="s">
        <v>19</v>
      </c>
      <c r="G200" t="s">
        <v>122</v>
      </c>
      <c r="H200" t="s">
        <v>20</v>
      </c>
      <c r="I200" t="s">
        <v>21</v>
      </c>
      <c r="J200" t="s">
        <v>17</v>
      </c>
      <c r="K200" t="s">
        <v>55</v>
      </c>
      <c r="L200">
        <v>1</v>
      </c>
      <c r="M200" s="6">
        <v>713</v>
      </c>
      <c r="N200" s="6">
        <v>1120</v>
      </c>
      <c r="O200" s="6">
        <f>Table1[[#This Row],[Unit_Price]]*Table1[[#This Row],[Order_Quantity]]</f>
        <v>1120</v>
      </c>
      <c r="P200" s="6">
        <f>Table1[[#This Row],[Unit_Cost]]*Table1[[#This Row],[Order_Quantity]]</f>
        <v>713</v>
      </c>
      <c r="Q200" s="4">
        <f>Table1[[#This Row],[total sales]]-Table1[[#This Row],[total cost]]</f>
        <v>407</v>
      </c>
      <c r="R200" s="6" t="s">
        <v>138</v>
      </c>
      <c r="S200" s="6" t="str">
        <f>_xlfn.CONCAT(Table1[[#This Row],[Sub_Category]],"-",Table1[[#This Row],[bike colour]])</f>
        <v>Road Bikes-black</v>
      </c>
    </row>
    <row r="201" spans="1:19" x14ac:dyDescent="0.3">
      <c r="A201" s="1">
        <v>44496</v>
      </c>
      <c r="B201">
        <v>27</v>
      </c>
      <c r="C201" t="s">
        <v>13</v>
      </c>
      <c r="D201">
        <v>2021</v>
      </c>
      <c r="E201">
        <v>36</v>
      </c>
      <c r="F201" t="s">
        <v>14</v>
      </c>
      <c r="G201" t="s">
        <v>120</v>
      </c>
      <c r="H201" t="s">
        <v>27</v>
      </c>
      <c r="I201" t="s">
        <v>45</v>
      </c>
      <c r="J201" t="s">
        <v>17</v>
      </c>
      <c r="K201" t="s">
        <v>44</v>
      </c>
      <c r="L201">
        <v>1</v>
      </c>
      <c r="M201" s="6">
        <v>713</v>
      </c>
      <c r="N201" s="6">
        <v>1120</v>
      </c>
      <c r="O201" s="6">
        <f>Table1[[#This Row],[Unit_Price]]*Table1[[#This Row],[Order_Quantity]]</f>
        <v>1120</v>
      </c>
      <c r="P201" s="6">
        <f>Table1[[#This Row],[Unit_Cost]]*Table1[[#This Row],[Order_Quantity]]</f>
        <v>713</v>
      </c>
      <c r="Q201" s="4">
        <f>Table1[[#This Row],[total sales]]-Table1[[#This Row],[total cost]]</f>
        <v>407</v>
      </c>
      <c r="R201" s="6" t="s">
        <v>136</v>
      </c>
      <c r="S201" s="6" t="str">
        <f>_xlfn.CONCAT(Table1[[#This Row],[Sub_Category]],"-",Table1[[#This Row],[bike colour]])</f>
        <v>Road Bikes-yellow</v>
      </c>
    </row>
    <row r="202" spans="1:19" x14ac:dyDescent="0.3">
      <c r="A202" s="1">
        <v>44497</v>
      </c>
      <c r="B202">
        <v>28</v>
      </c>
      <c r="C202" t="s">
        <v>13</v>
      </c>
      <c r="D202">
        <v>2021</v>
      </c>
      <c r="E202">
        <v>27</v>
      </c>
      <c r="F202" t="s">
        <v>19</v>
      </c>
      <c r="G202" t="s">
        <v>122</v>
      </c>
      <c r="H202" t="s">
        <v>23</v>
      </c>
      <c r="I202" t="s">
        <v>24</v>
      </c>
      <c r="J202" t="s">
        <v>17</v>
      </c>
      <c r="K202" t="s">
        <v>41</v>
      </c>
      <c r="L202">
        <v>4</v>
      </c>
      <c r="M202" s="6">
        <v>713</v>
      </c>
      <c r="N202" s="6">
        <v>1120</v>
      </c>
      <c r="O202" s="6">
        <f>Table1[[#This Row],[Unit_Price]]*Table1[[#This Row],[Order_Quantity]]</f>
        <v>4480</v>
      </c>
      <c r="P202" s="6">
        <f>Table1[[#This Row],[Unit_Cost]]*Table1[[#This Row],[Order_Quantity]]</f>
        <v>2852</v>
      </c>
      <c r="Q202" s="4">
        <f>Table1[[#This Row],[total sales]]-Table1[[#This Row],[total cost]]</f>
        <v>1628</v>
      </c>
      <c r="R202" s="6" t="s">
        <v>138</v>
      </c>
      <c r="S202" s="6" t="str">
        <f>_xlfn.CONCAT(Table1[[#This Row],[Sub_Category]],"-",Table1[[#This Row],[bike colour]])</f>
        <v>Road Bikes-black</v>
      </c>
    </row>
    <row r="203" spans="1:19" x14ac:dyDescent="0.3">
      <c r="A203" s="1">
        <v>44497</v>
      </c>
      <c r="B203">
        <v>28</v>
      </c>
      <c r="C203" t="s">
        <v>13</v>
      </c>
      <c r="D203">
        <v>2021</v>
      </c>
      <c r="E203">
        <v>54</v>
      </c>
      <c r="F203" t="s">
        <v>14</v>
      </c>
      <c r="G203" t="s">
        <v>120</v>
      </c>
      <c r="H203" t="s">
        <v>23</v>
      </c>
      <c r="I203" t="s">
        <v>24</v>
      </c>
      <c r="J203" t="s">
        <v>17</v>
      </c>
      <c r="K203" t="s">
        <v>55</v>
      </c>
      <c r="L203">
        <v>4</v>
      </c>
      <c r="M203" s="6">
        <v>713</v>
      </c>
      <c r="N203" s="6">
        <v>1120</v>
      </c>
      <c r="O203" s="6">
        <f>Table1[[#This Row],[Unit_Price]]*Table1[[#This Row],[Order_Quantity]]</f>
        <v>4480</v>
      </c>
      <c r="P203" s="6">
        <f>Table1[[#This Row],[Unit_Cost]]*Table1[[#This Row],[Order_Quantity]]</f>
        <v>2852</v>
      </c>
      <c r="Q203" s="4">
        <f>Table1[[#This Row],[total sales]]-Table1[[#This Row],[total cost]]</f>
        <v>1628</v>
      </c>
      <c r="R203" s="6" t="s">
        <v>138</v>
      </c>
      <c r="S203" s="6" t="str">
        <f>_xlfn.CONCAT(Table1[[#This Row],[Sub_Category]],"-",Table1[[#This Row],[bike colour]])</f>
        <v>Road Bikes-black</v>
      </c>
    </row>
    <row r="204" spans="1:19" x14ac:dyDescent="0.3">
      <c r="A204" s="1">
        <v>44497</v>
      </c>
      <c r="B204">
        <v>28</v>
      </c>
      <c r="C204" t="s">
        <v>13</v>
      </c>
      <c r="D204">
        <v>2021</v>
      </c>
      <c r="E204">
        <v>31</v>
      </c>
      <c r="F204" t="s">
        <v>19</v>
      </c>
      <c r="G204" t="s">
        <v>122</v>
      </c>
      <c r="H204" t="s">
        <v>42</v>
      </c>
      <c r="I204" t="s">
        <v>86</v>
      </c>
      <c r="J204" t="s">
        <v>17</v>
      </c>
      <c r="K204" t="s">
        <v>80</v>
      </c>
      <c r="L204">
        <v>3</v>
      </c>
      <c r="M204" s="6">
        <v>713</v>
      </c>
      <c r="N204" s="6">
        <v>1120</v>
      </c>
      <c r="O204" s="6">
        <f>Table1[[#This Row],[Unit_Price]]*Table1[[#This Row],[Order_Quantity]]</f>
        <v>3360</v>
      </c>
      <c r="P204" s="6">
        <f>Table1[[#This Row],[Unit_Cost]]*Table1[[#This Row],[Order_Quantity]]</f>
        <v>2139</v>
      </c>
      <c r="Q204" s="4">
        <f>Table1[[#This Row],[total sales]]-Table1[[#This Row],[total cost]]</f>
        <v>1221</v>
      </c>
      <c r="R204" s="6" t="s">
        <v>138</v>
      </c>
      <c r="S204" s="6" t="str">
        <f>_xlfn.CONCAT(Table1[[#This Row],[Sub_Category]],"-",Table1[[#This Row],[bike colour]])</f>
        <v>Road Bikes-black</v>
      </c>
    </row>
    <row r="205" spans="1:19" x14ac:dyDescent="0.3">
      <c r="A205" s="1">
        <v>44497</v>
      </c>
      <c r="B205">
        <v>28</v>
      </c>
      <c r="C205" t="s">
        <v>13</v>
      </c>
      <c r="D205">
        <v>2021</v>
      </c>
      <c r="E205">
        <v>54</v>
      </c>
      <c r="F205" t="s">
        <v>14</v>
      </c>
      <c r="G205" t="s">
        <v>122</v>
      </c>
      <c r="H205" t="s">
        <v>27</v>
      </c>
      <c r="I205" t="s">
        <v>28</v>
      </c>
      <c r="J205" t="s">
        <v>17</v>
      </c>
      <c r="K205" t="s">
        <v>44</v>
      </c>
      <c r="L205">
        <v>2</v>
      </c>
      <c r="M205" s="6">
        <v>713</v>
      </c>
      <c r="N205" s="6">
        <v>1120</v>
      </c>
      <c r="O205" s="6">
        <f>Table1[[#This Row],[Unit_Price]]*Table1[[#This Row],[Order_Quantity]]</f>
        <v>2240</v>
      </c>
      <c r="P205" s="6">
        <f>Table1[[#This Row],[Unit_Cost]]*Table1[[#This Row],[Order_Quantity]]</f>
        <v>1426</v>
      </c>
      <c r="Q205" s="4">
        <f>Table1[[#This Row],[total sales]]-Table1[[#This Row],[total cost]]</f>
        <v>814</v>
      </c>
      <c r="R205" s="6" t="s">
        <v>136</v>
      </c>
      <c r="S205" s="6" t="str">
        <f>_xlfn.CONCAT(Table1[[#This Row],[Sub_Category]],"-",Table1[[#This Row],[bike colour]])</f>
        <v>Road Bikes-yellow</v>
      </c>
    </row>
    <row r="206" spans="1:19" x14ac:dyDescent="0.3">
      <c r="A206" s="1">
        <v>44497</v>
      </c>
      <c r="B206">
        <v>28</v>
      </c>
      <c r="C206" t="s">
        <v>13</v>
      </c>
      <c r="D206">
        <v>2021</v>
      </c>
      <c r="E206">
        <v>21</v>
      </c>
      <c r="F206" t="s">
        <v>49</v>
      </c>
      <c r="G206" t="s">
        <v>120</v>
      </c>
      <c r="H206" t="s">
        <v>15</v>
      </c>
      <c r="I206" t="s">
        <v>16</v>
      </c>
      <c r="J206" t="s">
        <v>17</v>
      </c>
      <c r="K206" t="s">
        <v>18</v>
      </c>
      <c r="L206">
        <v>1</v>
      </c>
      <c r="M206" s="6">
        <v>713</v>
      </c>
      <c r="N206" s="6">
        <v>1120</v>
      </c>
      <c r="O206" s="6">
        <f>Table1[[#This Row],[Unit_Price]]*Table1[[#This Row],[Order_Quantity]]</f>
        <v>1120</v>
      </c>
      <c r="P206" s="6">
        <f>Table1[[#This Row],[Unit_Cost]]*Table1[[#This Row],[Order_Quantity]]</f>
        <v>713</v>
      </c>
      <c r="Q206" s="4">
        <f>Table1[[#This Row],[total sales]]-Table1[[#This Row],[total cost]]</f>
        <v>407</v>
      </c>
      <c r="R206" s="6" t="s">
        <v>136</v>
      </c>
      <c r="S206" s="6" t="str">
        <f>_xlfn.CONCAT(Table1[[#This Row],[Sub_Category]],"-",Table1[[#This Row],[bike colour]])</f>
        <v>Road Bikes-yellow</v>
      </c>
    </row>
    <row r="207" spans="1:19" x14ac:dyDescent="0.3">
      <c r="A207" s="1">
        <v>44497</v>
      </c>
      <c r="B207">
        <v>28</v>
      </c>
      <c r="C207" t="s">
        <v>13</v>
      </c>
      <c r="D207">
        <v>2021</v>
      </c>
      <c r="E207">
        <v>42</v>
      </c>
      <c r="F207" t="s">
        <v>14</v>
      </c>
      <c r="G207" t="s">
        <v>122</v>
      </c>
      <c r="H207" t="s">
        <v>27</v>
      </c>
      <c r="I207" t="s">
        <v>33</v>
      </c>
      <c r="J207" t="s">
        <v>17</v>
      </c>
      <c r="K207" t="s">
        <v>79</v>
      </c>
      <c r="L207">
        <v>1</v>
      </c>
      <c r="M207" s="6">
        <v>713</v>
      </c>
      <c r="N207" s="6">
        <v>1120</v>
      </c>
      <c r="O207" s="6">
        <f>Table1[[#This Row],[Unit_Price]]*Table1[[#This Row],[Order_Quantity]]</f>
        <v>1120</v>
      </c>
      <c r="P207" s="6">
        <f>Table1[[#This Row],[Unit_Cost]]*Table1[[#This Row],[Order_Quantity]]</f>
        <v>713</v>
      </c>
      <c r="Q207" s="4">
        <f>Table1[[#This Row],[total sales]]-Table1[[#This Row],[total cost]]</f>
        <v>407</v>
      </c>
      <c r="R207" s="6" t="s">
        <v>137</v>
      </c>
      <c r="S207" s="6" t="str">
        <f>_xlfn.CONCAT(Table1[[#This Row],[Sub_Category]],"-",Table1[[#This Row],[bike colour]])</f>
        <v>Road Bikes-red</v>
      </c>
    </row>
    <row r="208" spans="1:19" x14ac:dyDescent="0.3">
      <c r="A208" s="1">
        <v>44498</v>
      </c>
      <c r="B208">
        <v>29</v>
      </c>
      <c r="C208" t="s">
        <v>13</v>
      </c>
      <c r="D208">
        <v>2021</v>
      </c>
      <c r="E208">
        <v>44</v>
      </c>
      <c r="F208" t="s">
        <v>14</v>
      </c>
      <c r="G208" t="s">
        <v>120</v>
      </c>
      <c r="H208" t="s">
        <v>27</v>
      </c>
      <c r="I208" t="s">
        <v>33</v>
      </c>
      <c r="J208" t="s">
        <v>17</v>
      </c>
      <c r="K208" t="s">
        <v>80</v>
      </c>
      <c r="L208">
        <v>4</v>
      </c>
      <c r="M208" s="6">
        <v>713</v>
      </c>
      <c r="N208" s="6">
        <v>1120</v>
      </c>
      <c r="O208" s="6">
        <f>Table1[[#This Row],[Unit_Price]]*Table1[[#This Row],[Order_Quantity]]</f>
        <v>4480</v>
      </c>
      <c r="P208" s="6">
        <f>Table1[[#This Row],[Unit_Cost]]*Table1[[#This Row],[Order_Quantity]]</f>
        <v>2852</v>
      </c>
      <c r="Q208" s="4">
        <f>Table1[[#This Row],[total sales]]-Table1[[#This Row],[total cost]]</f>
        <v>1628</v>
      </c>
      <c r="R208" s="6" t="s">
        <v>138</v>
      </c>
      <c r="S208" s="6" t="str">
        <f>_xlfn.CONCAT(Table1[[#This Row],[Sub_Category]],"-",Table1[[#This Row],[bike colour]])</f>
        <v>Road Bikes-black</v>
      </c>
    </row>
    <row r="209" spans="1:19" x14ac:dyDescent="0.3">
      <c r="A209" s="1">
        <v>44498</v>
      </c>
      <c r="B209">
        <v>29</v>
      </c>
      <c r="C209" t="s">
        <v>13</v>
      </c>
      <c r="D209">
        <v>2021</v>
      </c>
      <c r="E209">
        <v>29</v>
      </c>
      <c r="F209" t="s">
        <v>19</v>
      </c>
      <c r="G209" t="s">
        <v>120</v>
      </c>
      <c r="H209" t="s">
        <v>27</v>
      </c>
      <c r="I209" t="s">
        <v>33</v>
      </c>
      <c r="J209" t="s">
        <v>17</v>
      </c>
      <c r="K209" t="s">
        <v>40</v>
      </c>
      <c r="L209">
        <v>3</v>
      </c>
      <c r="M209" s="6">
        <v>713</v>
      </c>
      <c r="N209" s="6">
        <v>1120</v>
      </c>
      <c r="O209" s="6">
        <f>Table1[[#This Row],[Unit_Price]]*Table1[[#This Row],[Order_Quantity]]</f>
        <v>3360</v>
      </c>
      <c r="P209" s="6">
        <f>Table1[[#This Row],[Unit_Cost]]*Table1[[#This Row],[Order_Quantity]]</f>
        <v>2139</v>
      </c>
      <c r="Q209" s="4">
        <f>Table1[[#This Row],[total sales]]-Table1[[#This Row],[total cost]]</f>
        <v>1221</v>
      </c>
      <c r="R209" s="6" t="s">
        <v>138</v>
      </c>
      <c r="S209" s="6" t="str">
        <f>_xlfn.CONCAT(Table1[[#This Row],[Sub_Category]],"-",Table1[[#This Row],[bike colour]])</f>
        <v>Road Bikes-black</v>
      </c>
    </row>
    <row r="210" spans="1:19" x14ac:dyDescent="0.3">
      <c r="A210" s="1">
        <v>44498</v>
      </c>
      <c r="B210">
        <v>29</v>
      </c>
      <c r="C210" t="s">
        <v>13</v>
      </c>
      <c r="D210">
        <v>2021</v>
      </c>
      <c r="E210">
        <v>32</v>
      </c>
      <c r="F210" t="s">
        <v>19</v>
      </c>
      <c r="G210" t="s">
        <v>120</v>
      </c>
      <c r="H210" t="s">
        <v>27</v>
      </c>
      <c r="I210" t="s">
        <v>28</v>
      </c>
      <c r="J210" t="s">
        <v>25</v>
      </c>
      <c r="K210" t="s">
        <v>56</v>
      </c>
      <c r="L210">
        <v>2</v>
      </c>
      <c r="M210" s="6">
        <v>713</v>
      </c>
      <c r="N210" s="6">
        <v>1120</v>
      </c>
      <c r="O210" s="6">
        <f>Table1[[#This Row],[Unit_Price]]*Table1[[#This Row],[Order_Quantity]]</f>
        <v>2240</v>
      </c>
      <c r="P210" s="6">
        <f>Table1[[#This Row],[Unit_Cost]]*Table1[[#This Row],[Order_Quantity]]</f>
        <v>1426</v>
      </c>
      <c r="Q210" s="4">
        <f>Table1[[#This Row],[total sales]]-Table1[[#This Row],[total cost]]</f>
        <v>814</v>
      </c>
      <c r="R210" s="6" t="s">
        <v>139</v>
      </c>
      <c r="S210" s="6" t="str">
        <f>_xlfn.CONCAT(Table1[[#This Row],[Sub_Category]],"-",Table1[[#This Row],[bike colour]])</f>
        <v>Mountain Bikes-silver</v>
      </c>
    </row>
    <row r="211" spans="1:19" x14ac:dyDescent="0.3">
      <c r="A211" s="1">
        <v>44498</v>
      </c>
      <c r="B211">
        <v>29</v>
      </c>
      <c r="C211" t="s">
        <v>13</v>
      </c>
      <c r="D211">
        <v>2021</v>
      </c>
      <c r="E211">
        <v>27</v>
      </c>
      <c r="F211" t="s">
        <v>19</v>
      </c>
      <c r="G211" t="s">
        <v>120</v>
      </c>
      <c r="H211" t="s">
        <v>27</v>
      </c>
      <c r="I211" t="s">
        <v>28</v>
      </c>
      <c r="J211" t="s">
        <v>25</v>
      </c>
      <c r="K211" t="s">
        <v>31</v>
      </c>
      <c r="L211">
        <v>1</v>
      </c>
      <c r="M211" s="6">
        <v>713</v>
      </c>
      <c r="N211" s="6">
        <v>1120</v>
      </c>
      <c r="O211" s="6">
        <f>Table1[[#This Row],[Unit_Price]]*Table1[[#This Row],[Order_Quantity]]</f>
        <v>1120</v>
      </c>
      <c r="P211" s="6">
        <f>Table1[[#This Row],[Unit_Cost]]*Table1[[#This Row],[Order_Quantity]]</f>
        <v>713</v>
      </c>
      <c r="Q211" s="4">
        <f>Table1[[#This Row],[total sales]]-Table1[[#This Row],[total cost]]</f>
        <v>407</v>
      </c>
      <c r="R211" s="6" t="s">
        <v>139</v>
      </c>
      <c r="S211" s="6" t="str">
        <f>_xlfn.CONCAT(Table1[[#This Row],[Sub_Category]],"-",Table1[[#This Row],[bike colour]])</f>
        <v>Mountain Bikes-silver</v>
      </c>
    </row>
    <row r="212" spans="1:19" x14ac:dyDescent="0.3">
      <c r="A212" s="1">
        <v>44498</v>
      </c>
      <c r="B212">
        <v>29</v>
      </c>
      <c r="C212" t="s">
        <v>13</v>
      </c>
      <c r="D212">
        <v>2021</v>
      </c>
      <c r="E212">
        <v>32</v>
      </c>
      <c r="F212" t="s">
        <v>19</v>
      </c>
      <c r="G212" t="s">
        <v>122</v>
      </c>
      <c r="H212" t="s">
        <v>27</v>
      </c>
      <c r="I212" t="s">
        <v>28</v>
      </c>
      <c r="J212" t="s">
        <v>17</v>
      </c>
      <c r="K212" t="s">
        <v>36</v>
      </c>
      <c r="L212">
        <v>1</v>
      </c>
      <c r="M212" s="6">
        <v>713</v>
      </c>
      <c r="N212" s="6">
        <v>1120</v>
      </c>
      <c r="O212" s="6">
        <f>Table1[[#This Row],[Unit_Price]]*Table1[[#This Row],[Order_Quantity]]</f>
        <v>1120</v>
      </c>
      <c r="P212" s="6">
        <f>Table1[[#This Row],[Unit_Cost]]*Table1[[#This Row],[Order_Quantity]]</f>
        <v>713</v>
      </c>
      <c r="Q212" s="4">
        <f>Table1[[#This Row],[total sales]]-Table1[[#This Row],[total cost]]</f>
        <v>407</v>
      </c>
      <c r="R212" s="6" t="s">
        <v>136</v>
      </c>
      <c r="S212" s="6" t="str">
        <f>_xlfn.CONCAT(Table1[[#This Row],[Sub_Category]],"-",Table1[[#This Row],[bike colour]])</f>
        <v>Road Bikes-yellow</v>
      </c>
    </row>
    <row r="213" spans="1:19" x14ac:dyDescent="0.3">
      <c r="A213" s="1">
        <v>44498</v>
      </c>
      <c r="B213">
        <v>29</v>
      </c>
      <c r="C213" t="s">
        <v>13</v>
      </c>
      <c r="D213">
        <v>2021</v>
      </c>
      <c r="E213">
        <v>40</v>
      </c>
      <c r="F213" t="s">
        <v>14</v>
      </c>
      <c r="G213" t="s">
        <v>120</v>
      </c>
      <c r="H213" t="s">
        <v>42</v>
      </c>
      <c r="I213" t="s">
        <v>43</v>
      </c>
      <c r="J213" t="s">
        <v>17</v>
      </c>
      <c r="K213" t="s">
        <v>32</v>
      </c>
      <c r="L213">
        <v>1</v>
      </c>
      <c r="M213" s="6">
        <v>713</v>
      </c>
      <c r="N213" s="6">
        <v>1120</v>
      </c>
      <c r="O213" s="6">
        <f>Table1[[#This Row],[Unit_Price]]*Table1[[#This Row],[Order_Quantity]]</f>
        <v>1120</v>
      </c>
      <c r="P213" s="6">
        <f>Table1[[#This Row],[Unit_Cost]]*Table1[[#This Row],[Order_Quantity]]</f>
        <v>713</v>
      </c>
      <c r="Q213" s="4">
        <f>Table1[[#This Row],[total sales]]-Table1[[#This Row],[total cost]]</f>
        <v>407</v>
      </c>
      <c r="R213" s="6" t="s">
        <v>137</v>
      </c>
      <c r="S213" s="6" t="str">
        <f>_xlfn.CONCAT(Table1[[#This Row],[Sub_Category]],"-",Table1[[#This Row],[bike colour]])</f>
        <v>Road Bikes-red</v>
      </c>
    </row>
    <row r="214" spans="1:19" x14ac:dyDescent="0.3">
      <c r="A214" s="1">
        <v>44499</v>
      </c>
      <c r="B214">
        <v>30</v>
      </c>
      <c r="C214" t="s">
        <v>13</v>
      </c>
      <c r="D214">
        <v>2021</v>
      </c>
      <c r="E214">
        <v>33</v>
      </c>
      <c r="F214" t="s">
        <v>19</v>
      </c>
      <c r="G214" t="s">
        <v>120</v>
      </c>
      <c r="H214" t="s">
        <v>27</v>
      </c>
      <c r="I214" t="s">
        <v>45</v>
      </c>
      <c r="J214" t="s">
        <v>17</v>
      </c>
      <c r="K214" t="s">
        <v>52</v>
      </c>
      <c r="L214">
        <v>4</v>
      </c>
      <c r="M214" s="6">
        <v>713</v>
      </c>
      <c r="N214" s="6">
        <v>1120</v>
      </c>
      <c r="O214" s="6">
        <f>Table1[[#This Row],[Unit_Price]]*Table1[[#This Row],[Order_Quantity]]</f>
        <v>4480</v>
      </c>
      <c r="P214" s="6">
        <f>Table1[[#This Row],[Unit_Cost]]*Table1[[#This Row],[Order_Quantity]]</f>
        <v>2852</v>
      </c>
      <c r="Q214" s="4">
        <f>Table1[[#This Row],[total sales]]-Table1[[#This Row],[total cost]]</f>
        <v>1628</v>
      </c>
      <c r="R214" s="6" t="s">
        <v>138</v>
      </c>
      <c r="S214" s="6" t="str">
        <f>_xlfn.CONCAT(Table1[[#This Row],[Sub_Category]],"-",Table1[[#This Row],[bike colour]])</f>
        <v>Road Bikes-black</v>
      </c>
    </row>
    <row r="215" spans="1:19" x14ac:dyDescent="0.3">
      <c r="A215" s="1">
        <v>44499</v>
      </c>
      <c r="B215">
        <v>30</v>
      </c>
      <c r="C215" t="s">
        <v>13</v>
      </c>
      <c r="D215">
        <v>2021</v>
      </c>
      <c r="E215">
        <v>51</v>
      </c>
      <c r="F215" t="s">
        <v>14</v>
      </c>
      <c r="G215" t="s">
        <v>122</v>
      </c>
      <c r="H215" t="s">
        <v>15</v>
      </c>
      <c r="I215" t="s">
        <v>16</v>
      </c>
      <c r="J215" t="s">
        <v>25</v>
      </c>
      <c r="K215" t="s">
        <v>67</v>
      </c>
      <c r="L215">
        <v>4</v>
      </c>
      <c r="M215" s="6">
        <v>713</v>
      </c>
      <c r="N215" s="6">
        <v>1120</v>
      </c>
      <c r="O215" s="6">
        <f>Table1[[#This Row],[Unit_Price]]*Table1[[#This Row],[Order_Quantity]]</f>
        <v>4480</v>
      </c>
      <c r="P215" s="6">
        <f>Table1[[#This Row],[Unit_Cost]]*Table1[[#This Row],[Order_Quantity]]</f>
        <v>2852</v>
      </c>
      <c r="Q215" s="4">
        <f>Table1[[#This Row],[total sales]]-Table1[[#This Row],[total cost]]</f>
        <v>1628</v>
      </c>
      <c r="R215" s="6" t="s">
        <v>139</v>
      </c>
      <c r="S215" s="6" t="str">
        <f>_xlfn.CONCAT(Table1[[#This Row],[Sub_Category]],"-",Table1[[#This Row],[bike colour]])</f>
        <v>Mountain Bikes-silver</v>
      </c>
    </row>
    <row r="216" spans="1:19" x14ac:dyDescent="0.3">
      <c r="A216" s="1">
        <v>44499</v>
      </c>
      <c r="B216">
        <v>30</v>
      </c>
      <c r="C216" t="s">
        <v>13</v>
      </c>
      <c r="D216">
        <v>2021</v>
      </c>
      <c r="E216">
        <v>23</v>
      </c>
      <c r="F216" t="s">
        <v>49</v>
      </c>
      <c r="G216" t="s">
        <v>122</v>
      </c>
      <c r="H216" t="s">
        <v>15</v>
      </c>
      <c r="I216" t="s">
        <v>16</v>
      </c>
      <c r="J216" t="s">
        <v>17</v>
      </c>
      <c r="K216" t="s">
        <v>81</v>
      </c>
      <c r="L216">
        <v>3</v>
      </c>
      <c r="M216" s="6">
        <v>713</v>
      </c>
      <c r="N216" s="6">
        <v>1120</v>
      </c>
      <c r="O216" s="6">
        <f>Table1[[#This Row],[Unit_Price]]*Table1[[#This Row],[Order_Quantity]]</f>
        <v>3360</v>
      </c>
      <c r="P216" s="6">
        <f>Table1[[#This Row],[Unit_Cost]]*Table1[[#This Row],[Order_Quantity]]</f>
        <v>2139</v>
      </c>
      <c r="Q216" s="4">
        <f>Table1[[#This Row],[total sales]]-Table1[[#This Row],[total cost]]</f>
        <v>1221</v>
      </c>
      <c r="R216" s="6" t="s">
        <v>136</v>
      </c>
      <c r="S216" s="6" t="str">
        <f>_xlfn.CONCAT(Table1[[#This Row],[Sub_Category]],"-",Table1[[#This Row],[bike colour]])</f>
        <v>Road Bikes-yellow</v>
      </c>
    </row>
    <row r="217" spans="1:19" x14ac:dyDescent="0.3">
      <c r="A217" s="1">
        <v>44499</v>
      </c>
      <c r="B217">
        <v>30</v>
      </c>
      <c r="C217" t="s">
        <v>13</v>
      </c>
      <c r="D217">
        <v>2021</v>
      </c>
      <c r="E217">
        <v>26</v>
      </c>
      <c r="F217" t="s">
        <v>19</v>
      </c>
      <c r="G217" t="s">
        <v>120</v>
      </c>
      <c r="H217" t="s">
        <v>27</v>
      </c>
      <c r="I217" t="s">
        <v>28</v>
      </c>
      <c r="J217" t="s">
        <v>25</v>
      </c>
      <c r="K217" t="s">
        <v>31</v>
      </c>
      <c r="L217">
        <v>3</v>
      </c>
      <c r="M217" s="6">
        <v>713</v>
      </c>
      <c r="N217" s="6">
        <v>1120</v>
      </c>
      <c r="O217" s="6">
        <f>Table1[[#This Row],[Unit_Price]]*Table1[[#This Row],[Order_Quantity]]</f>
        <v>3360</v>
      </c>
      <c r="P217" s="6">
        <f>Table1[[#This Row],[Unit_Cost]]*Table1[[#This Row],[Order_Quantity]]</f>
        <v>2139</v>
      </c>
      <c r="Q217" s="4">
        <f>Table1[[#This Row],[total sales]]-Table1[[#This Row],[total cost]]</f>
        <v>1221</v>
      </c>
      <c r="R217" s="6" t="s">
        <v>139</v>
      </c>
      <c r="S217" s="6" t="str">
        <f>_xlfn.CONCAT(Table1[[#This Row],[Sub_Category]],"-",Table1[[#This Row],[bike colour]])</f>
        <v>Mountain Bikes-silver</v>
      </c>
    </row>
    <row r="218" spans="1:19" x14ac:dyDescent="0.3">
      <c r="A218" s="1">
        <v>44499</v>
      </c>
      <c r="B218">
        <v>30</v>
      </c>
      <c r="C218" t="s">
        <v>13</v>
      </c>
      <c r="D218">
        <v>2021</v>
      </c>
      <c r="E218">
        <v>33</v>
      </c>
      <c r="F218" t="s">
        <v>19</v>
      </c>
      <c r="G218" t="s">
        <v>120</v>
      </c>
      <c r="H218" t="s">
        <v>50</v>
      </c>
      <c r="I218" t="s">
        <v>93</v>
      </c>
      <c r="J218" t="s">
        <v>17</v>
      </c>
      <c r="K218" t="s">
        <v>79</v>
      </c>
      <c r="L218">
        <v>3</v>
      </c>
      <c r="M218" s="6">
        <v>713</v>
      </c>
      <c r="N218" s="6">
        <v>1120</v>
      </c>
      <c r="O218" s="6">
        <f>Table1[[#This Row],[Unit_Price]]*Table1[[#This Row],[Order_Quantity]]</f>
        <v>3360</v>
      </c>
      <c r="P218" s="6">
        <f>Table1[[#This Row],[Unit_Cost]]*Table1[[#This Row],[Order_Quantity]]</f>
        <v>2139</v>
      </c>
      <c r="Q218" s="4">
        <f>Table1[[#This Row],[total sales]]-Table1[[#This Row],[total cost]]</f>
        <v>1221</v>
      </c>
      <c r="R218" s="6" t="s">
        <v>137</v>
      </c>
      <c r="S218" s="6" t="str">
        <f>_xlfn.CONCAT(Table1[[#This Row],[Sub_Category]],"-",Table1[[#This Row],[bike colour]])</f>
        <v>Road Bikes-red</v>
      </c>
    </row>
    <row r="219" spans="1:19" x14ac:dyDescent="0.3">
      <c r="A219" s="1">
        <v>44499</v>
      </c>
      <c r="B219">
        <v>30</v>
      </c>
      <c r="C219" t="s">
        <v>13</v>
      </c>
      <c r="D219">
        <v>2021</v>
      </c>
      <c r="E219">
        <v>42</v>
      </c>
      <c r="F219" t="s">
        <v>14</v>
      </c>
      <c r="G219" t="s">
        <v>120</v>
      </c>
      <c r="H219" t="s">
        <v>27</v>
      </c>
      <c r="I219" t="s">
        <v>45</v>
      </c>
      <c r="J219" t="s">
        <v>17</v>
      </c>
      <c r="K219" t="s">
        <v>41</v>
      </c>
      <c r="L219">
        <v>3</v>
      </c>
      <c r="M219" s="6">
        <v>713</v>
      </c>
      <c r="N219" s="6">
        <v>1120</v>
      </c>
      <c r="O219" s="6">
        <f>Table1[[#This Row],[Unit_Price]]*Table1[[#This Row],[Order_Quantity]]</f>
        <v>3360</v>
      </c>
      <c r="P219" s="6">
        <f>Table1[[#This Row],[Unit_Cost]]*Table1[[#This Row],[Order_Quantity]]</f>
        <v>2139</v>
      </c>
      <c r="Q219" s="4">
        <f>Table1[[#This Row],[total sales]]-Table1[[#This Row],[total cost]]</f>
        <v>1221</v>
      </c>
      <c r="R219" s="6" t="s">
        <v>138</v>
      </c>
      <c r="S219" s="6" t="str">
        <f>_xlfn.CONCAT(Table1[[#This Row],[Sub_Category]],"-",Table1[[#This Row],[bike colour]])</f>
        <v>Road Bikes-black</v>
      </c>
    </row>
    <row r="220" spans="1:19" x14ac:dyDescent="0.3">
      <c r="A220" s="1">
        <v>44499</v>
      </c>
      <c r="B220">
        <v>30</v>
      </c>
      <c r="C220" t="s">
        <v>13</v>
      </c>
      <c r="D220">
        <v>2021</v>
      </c>
      <c r="E220">
        <v>53</v>
      </c>
      <c r="F220" t="s">
        <v>14</v>
      </c>
      <c r="G220" t="s">
        <v>122</v>
      </c>
      <c r="H220" t="s">
        <v>50</v>
      </c>
      <c r="I220" t="s">
        <v>94</v>
      </c>
      <c r="J220" t="s">
        <v>17</v>
      </c>
      <c r="K220" t="s">
        <v>54</v>
      </c>
      <c r="L220">
        <v>3</v>
      </c>
      <c r="M220" s="6">
        <v>713</v>
      </c>
      <c r="N220" s="6">
        <v>1120</v>
      </c>
      <c r="O220" s="6">
        <f>Table1[[#This Row],[Unit_Price]]*Table1[[#This Row],[Order_Quantity]]</f>
        <v>3360</v>
      </c>
      <c r="P220" s="6">
        <f>Table1[[#This Row],[Unit_Cost]]*Table1[[#This Row],[Order_Quantity]]</f>
        <v>2139</v>
      </c>
      <c r="Q220" s="4">
        <f>Table1[[#This Row],[total sales]]-Table1[[#This Row],[total cost]]</f>
        <v>1221</v>
      </c>
      <c r="R220" s="6" t="s">
        <v>137</v>
      </c>
      <c r="S220" s="6" t="str">
        <f>_xlfn.CONCAT(Table1[[#This Row],[Sub_Category]],"-",Table1[[#This Row],[bike colour]])</f>
        <v>Road Bikes-red</v>
      </c>
    </row>
    <row r="221" spans="1:19" x14ac:dyDescent="0.3">
      <c r="A221" s="1">
        <v>44499</v>
      </c>
      <c r="B221">
        <v>30</v>
      </c>
      <c r="C221" t="s">
        <v>13</v>
      </c>
      <c r="D221">
        <v>2021</v>
      </c>
      <c r="E221">
        <v>27</v>
      </c>
      <c r="F221" t="s">
        <v>19</v>
      </c>
      <c r="G221" t="s">
        <v>122</v>
      </c>
      <c r="H221" t="s">
        <v>50</v>
      </c>
      <c r="I221" t="s">
        <v>93</v>
      </c>
      <c r="J221" t="s">
        <v>25</v>
      </c>
      <c r="K221" t="s">
        <v>34</v>
      </c>
      <c r="L221">
        <v>2</v>
      </c>
      <c r="M221" s="6">
        <v>713</v>
      </c>
      <c r="N221" s="6">
        <v>1120</v>
      </c>
      <c r="O221" s="6">
        <f>Table1[[#This Row],[Unit_Price]]*Table1[[#This Row],[Order_Quantity]]</f>
        <v>2240</v>
      </c>
      <c r="P221" s="6">
        <f>Table1[[#This Row],[Unit_Cost]]*Table1[[#This Row],[Order_Quantity]]</f>
        <v>1426</v>
      </c>
      <c r="Q221" s="4">
        <f>Table1[[#This Row],[total sales]]-Table1[[#This Row],[total cost]]</f>
        <v>814</v>
      </c>
      <c r="R221" s="6" t="s">
        <v>138</v>
      </c>
      <c r="S221" s="6" t="str">
        <f>_xlfn.CONCAT(Table1[[#This Row],[Sub_Category]],"-",Table1[[#This Row],[bike colour]])</f>
        <v>Mountain Bikes-black</v>
      </c>
    </row>
    <row r="222" spans="1:19" x14ac:dyDescent="0.3">
      <c r="A222" s="1">
        <v>44499</v>
      </c>
      <c r="B222">
        <v>30</v>
      </c>
      <c r="C222" t="s">
        <v>13</v>
      </c>
      <c r="D222">
        <v>2021</v>
      </c>
      <c r="E222">
        <v>30</v>
      </c>
      <c r="F222" t="s">
        <v>19</v>
      </c>
      <c r="G222" t="s">
        <v>120</v>
      </c>
      <c r="H222" t="s">
        <v>50</v>
      </c>
      <c r="I222" t="s">
        <v>94</v>
      </c>
      <c r="J222" t="s">
        <v>17</v>
      </c>
      <c r="K222" t="s">
        <v>78</v>
      </c>
      <c r="L222">
        <v>1</v>
      </c>
      <c r="M222" s="6">
        <v>713</v>
      </c>
      <c r="N222" s="6">
        <v>1120</v>
      </c>
      <c r="O222" s="6">
        <f>Table1[[#This Row],[Unit_Price]]*Table1[[#This Row],[Order_Quantity]]</f>
        <v>1120</v>
      </c>
      <c r="P222" s="6">
        <f>Table1[[#This Row],[Unit_Cost]]*Table1[[#This Row],[Order_Quantity]]</f>
        <v>713</v>
      </c>
      <c r="Q222" s="4">
        <f>Table1[[#This Row],[total sales]]-Table1[[#This Row],[total cost]]</f>
        <v>407</v>
      </c>
      <c r="R222" s="6" t="s">
        <v>138</v>
      </c>
      <c r="S222" s="6" t="str">
        <f>_xlfn.CONCAT(Table1[[#This Row],[Sub_Category]],"-",Table1[[#This Row],[bike colour]])</f>
        <v>Road Bikes-black</v>
      </c>
    </row>
    <row r="223" spans="1:19" x14ac:dyDescent="0.3">
      <c r="A223" s="1">
        <v>44499</v>
      </c>
      <c r="B223">
        <v>30</v>
      </c>
      <c r="C223" t="s">
        <v>13</v>
      </c>
      <c r="D223">
        <v>2021</v>
      </c>
      <c r="E223">
        <v>36</v>
      </c>
      <c r="F223" t="s">
        <v>14</v>
      </c>
      <c r="G223" t="s">
        <v>120</v>
      </c>
      <c r="H223" t="s">
        <v>15</v>
      </c>
      <c r="I223" t="s">
        <v>82</v>
      </c>
      <c r="J223" t="s">
        <v>17</v>
      </c>
      <c r="K223" t="s">
        <v>52</v>
      </c>
      <c r="L223">
        <v>1</v>
      </c>
      <c r="M223" s="6">
        <v>713</v>
      </c>
      <c r="N223" s="6">
        <v>1120</v>
      </c>
      <c r="O223" s="6">
        <f>Table1[[#This Row],[Unit_Price]]*Table1[[#This Row],[Order_Quantity]]</f>
        <v>1120</v>
      </c>
      <c r="P223" s="6">
        <f>Table1[[#This Row],[Unit_Cost]]*Table1[[#This Row],[Order_Quantity]]</f>
        <v>713</v>
      </c>
      <c r="Q223" s="4">
        <f>Table1[[#This Row],[total sales]]-Table1[[#This Row],[total cost]]</f>
        <v>407</v>
      </c>
      <c r="R223" s="6" t="s">
        <v>138</v>
      </c>
      <c r="S223" s="6" t="str">
        <f>_xlfn.CONCAT(Table1[[#This Row],[Sub_Category]],"-",Table1[[#This Row],[bike colour]])</f>
        <v>Road Bikes-black</v>
      </c>
    </row>
    <row r="224" spans="1:19" x14ac:dyDescent="0.3">
      <c r="A224" s="1">
        <v>44499</v>
      </c>
      <c r="B224">
        <v>30</v>
      </c>
      <c r="C224" t="s">
        <v>13</v>
      </c>
      <c r="D224">
        <v>2021</v>
      </c>
      <c r="E224">
        <v>43</v>
      </c>
      <c r="F224" t="s">
        <v>14</v>
      </c>
      <c r="G224" t="s">
        <v>120</v>
      </c>
      <c r="H224" t="s">
        <v>15</v>
      </c>
      <c r="I224" t="s">
        <v>16</v>
      </c>
      <c r="J224" t="s">
        <v>17</v>
      </c>
      <c r="K224" t="s">
        <v>79</v>
      </c>
      <c r="L224">
        <v>1</v>
      </c>
      <c r="M224" s="6">
        <v>713</v>
      </c>
      <c r="N224" s="6">
        <v>1120</v>
      </c>
      <c r="O224" s="6">
        <f>Table1[[#This Row],[Unit_Price]]*Table1[[#This Row],[Order_Quantity]]</f>
        <v>1120</v>
      </c>
      <c r="P224" s="6">
        <f>Table1[[#This Row],[Unit_Cost]]*Table1[[#This Row],[Order_Quantity]]</f>
        <v>713</v>
      </c>
      <c r="Q224" s="4">
        <f>Table1[[#This Row],[total sales]]-Table1[[#This Row],[total cost]]</f>
        <v>407</v>
      </c>
      <c r="R224" s="6" t="s">
        <v>137</v>
      </c>
      <c r="S224" s="6" t="str">
        <f>_xlfn.CONCAT(Table1[[#This Row],[Sub_Category]],"-",Table1[[#This Row],[bike colour]])</f>
        <v>Road Bikes-red</v>
      </c>
    </row>
    <row r="225" spans="1:19" x14ac:dyDescent="0.3">
      <c r="A225" s="1">
        <v>44499</v>
      </c>
      <c r="B225">
        <v>30</v>
      </c>
      <c r="C225" t="s">
        <v>13</v>
      </c>
      <c r="D225">
        <v>2021</v>
      </c>
      <c r="E225">
        <v>54</v>
      </c>
      <c r="F225" t="s">
        <v>14</v>
      </c>
      <c r="G225" t="s">
        <v>122</v>
      </c>
      <c r="H225" t="s">
        <v>27</v>
      </c>
      <c r="I225" t="s">
        <v>33</v>
      </c>
      <c r="J225" t="s">
        <v>17</v>
      </c>
      <c r="K225" t="s">
        <v>78</v>
      </c>
      <c r="L225">
        <v>1</v>
      </c>
      <c r="M225" s="6">
        <v>713</v>
      </c>
      <c r="N225" s="6">
        <v>1120</v>
      </c>
      <c r="O225" s="6">
        <f>Table1[[#This Row],[Unit_Price]]*Table1[[#This Row],[Order_Quantity]]</f>
        <v>1120</v>
      </c>
      <c r="P225" s="6">
        <f>Table1[[#This Row],[Unit_Cost]]*Table1[[#This Row],[Order_Quantity]]</f>
        <v>713</v>
      </c>
      <c r="Q225" s="4">
        <f>Table1[[#This Row],[total sales]]-Table1[[#This Row],[total cost]]</f>
        <v>407</v>
      </c>
      <c r="R225" s="6" t="s">
        <v>138</v>
      </c>
      <c r="S225" s="6" t="str">
        <f>_xlfn.CONCAT(Table1[[#This Row],[Sub_Category]],"-",Table1[[#This Row],[bike colour]])</f>
        <v>Road Bikes-black</v>
      </c>
    </row>
    <row r="226" spans="1:19" x14ac:dyDescent="0.3">
      <c r="A226" s="1">
        <v>44500</v>
      </c>
      <c r="B226">
        <v>31</v>
      </c>
      <c r="C226" t="s">
        <v>13</v>
      </c>
      <c r="D226">
        <v>2021</v>
      </c>
      <c r="E226">
        <v>21</v>
      </c>
      <c r="F226" t="s">
        <v>49</v>
      </c>
      <c r="G226" t="s">
        <v>120</v>
      </c>
      <c r="H226" t="s">
        <v>15</v>
      </c>
      <c r="I226" t="s">
        <v>16</v>
      </c>
      <c r="J226" t="s">
        <v>17</v>
      </c>
      <c r="K226" t="s">
        <v>18</v>
      </c>
      <c r="L226">
        <v>2</v>
      </c>
      <c r="M226" s="6">
        <v>713</v>
      </c>
      <c r="N226" s="6">
        <v>1120</v>
      </c>
      <c r="O226" s="6">
        <f>Table1[[#This Row],[Unit_Price]]*Table1[[#This Row],[Order_Quantity]]</f>
        <v>2240</v>
      </c>
      <c r="P226" s="6">
        <f>Table1[[#This Row],[Unit_Cost]]*Table1[[#This Row],[Order_Quantity]]</f>
        <v>1426</v>
      </c>
      <c r="Q226" s="4">
        <f>Table1[[#This Row],[total sales]]-Table1[[#This Row],[total cost]]</f>
        <v>814</v>
      </c>
      <c r="R226" s="6" t="s">
        <v>136</v>
      </c>
      <c r="S226" s="6" t="str">
        <f>_xlfn.CONCAT(Table1[[#This Row],[Sub_Category]],"-",Table1[[#This Row],[bike colour]])</f>
        <v>Road Bikes-yellow</v>
      </c>
    </row>
    <row r="227" spans="1:19" x14ac:dyDescent="0.3">
      <c r="A227" s="1">
        <v>44500</v>
      </c>
      <c r="B227">
        <v>31</v>
      </c>
      <c r="C227" t="s">
        <v>13</v>
      </c>
      <c r="D227">
        <v>2021</v>
      </c>
      <c r="E227">
        <v>45</v>
      </c>
      <c r="F227" t="s">
        <v>14</v>
      </c>
      <c r="G227" t="s">
        <v>120</v>
      </c>
      <c r="H227" t="s">
        <v>15</v>
      </c>
      <c r="I227" t="s">
        <v>16</v>
      </c>
      <c r="J227" t="s">
        <v>17</v>
      </c>
      <c r="K227" t="s">
        <v>55</v>
      </c>
      <c r="L227">
        <v>2</v>
      </c>
      <c r="M227" s="6">
        <v>713</v>
      </c>
      <c r="N227" s="6">
        <v>1120</v>
      </c>
      <c r="O227" s="6">
        <f>Table1[[#This Row],[Unit_Price]]*Table1[[#This Row],[Order_Quantity]]</f>
        <v>2240</v>
      </c>
      <c r="P227" s="6">
        <f>Table1[[#This Row],[Unit_Cost]]*Table1[[#This Row],[Order_Quantity]]</f>
        <v>1426</v>
      </c>
      <c r="Q227" s="4">
        <f>Table1[[#This Row],[total sales]]-Table1[[#This Row],[total cost]]</f>
        <v>814</v>
      </c>
      <c r="R227" s="6" t="s">
        <v>138</v>
      </c>
      <c r="S227" s="6" t="str">
        <f>_xlfn.CONCAT(Table1[[#This Row],[Sub_Category]],"-",Table1[[#This Row],[bike colour]])</f>
        <v>Road Bikes-black</v>
      </c>
    </row>
    <row r="228" spans="1:19" x14ac:dyDescent="0.3">
      <c r="A228" s="1">
        <v>44500</v>
      </c>
      <c r="B228">
        <v>31</v>
      </c>
      <c r="C228" t="s">
        <v>13</v>
      </c>
      <c r="D228">
        <v>2021</v>
      </c>
      <c r="E228">
        <v>32</v>
      </c>
      <c r="F228" t="s">
        <v>19</v>
      </c>
      <c r="G228" t="s">
        <v>120</v>
      </c>
      <c r="H228" t="s">
        <v>42</v>
      </c>
      <c r="I228" t="s">
        <v>43</v>
      </c>
      <c r="J228" t="s">
        <v>17</v>
      </c>
      <c r="K228" t="s">
        <v>40</v>
      </c>
      <c r="L228">
        <v>1</v>
      </c>
      <c r="M228" s="6">
        <v>713</v>
      </c>
      <c r="N228" s="6">
        <v>1120</v>
      </c>
      <c r="O228" s="6">
        <f>Table1[[#This Row],[Unit_Price]]*Table1[[#This Row],[Order_Quantity]]</f>
        <v>1120</v>
      </c>
      <c r="P228" s="6">
        <f>Table1[[#This Row],[Unit_Cost]]*Table1[[#This Row],[Order_Quantity]]</f>
        <v>713</v>
      </c>
      <c r="Q228" s="4">
        <f>Table1[[#This Row],[total sales]]-Table1[[#This Row],[total cost]]</f>
        <v>407</v>
      </c>
      <c r="R228" s="6" t="s">
        <v>138</v>
      </c>
      <c r="S228" s="6" t="str">
        <f>_xlfn.CONCAT(Table1[[#This Row],[Sub_Category]],"-",Table1[[#This Row],[bike colour]])</f>
        <v>Road Bikes-black</v>
      </c>
    </row>
    <row r="229" spans="1:19" x14ac:dyDescent="0.3">
      <c r="A229" s="1">
        <v>44500</v>
      </c>
      <c r="B229">
        <v>31</v>
      </c>
      <c r="C229" t="s">
        <v>13</v>
      </c>
      <c r="D229">
        <v>2021</v>
      </c>
      <c r="E229">
        <v>39</v>
      </c>
      <c r="F229" t="s">
        <v>14</v>
      </c>
      <c r="G229" t="s">
        <v>120</v>
      </c>
      <c r="H229" t="s">
        <v>23</v>
      </c>
      <c r="I229" t="s">
        <v>24</v>
      </c>
      <c r="J229" t="s">
        <v>17</v>
      </c>
      <c r="K229" t="s">
        <v>41</v>
      </c>
      <c r="L229">
        <v>1</v>
      </c>
      <c r="M229" s="6">
        <v>713</v>
      </c>
      <c r="N229" s="6">
        <v>1120</v>
      </c>
      <c r="O229" s="6">
        <f>Table1[[#This Row],[Unit_Price]]*Table1[[#This Row],[Order_Quantity]]</f>
        <v>1120</v>
      </c>
      <c r="P229" s="6">
        <f>Table1[[#This Row],[Unit_Cost]]*Table1[[#This Row],[Order_Quantity]]</f>
        <v>713</v>
      </c>
      <c r="Q229" s="4">
        <f>Table1[[#This Row],[total sales]]-Table1[[#This Row],[total cost]]</f>
        <v>407</v>
      </c>
      <c r="R229" s="6" t="s">
        <v>138</v>
      </c>
      <c r="S229" s="6" t="str">
        <f>_xlfn.CONCAT(Table1[[#This Row],[Sub_Category]],"-",Table1[[#This Row],[bike colour]])</f>
        <v>Road Bikes-black</v>
      </c>
    </row>
    <row r="230" spans="1:19" x14ac:dyDescent="0.3">
      <c r="A230" s="1">
        <v>44500</v>
      </c>
      <c r="B230">
        <v>31</v>
      </c>
      <c r="C230" t="s">
        <v>13</v>
      </c>
      <c r="D230">
        <v>2021</v>
      </c>
      <c r="E230">
        <v>57</v>
      </c>
      <c r="F230" t="s">
        <v>14</v>
      </c>
      <c r="G230" t="s">
        <v>122</v>
      </c>
      <c r="H230" t="s">
        <v>27</v>
      </c>
      <c r="I230" t="s">
        <v>45</v>
      </c>
      <c r="J230" t="s">
        <v>17</v>
      </c>
      <c r="K230" t="s">
        <v>44</v>
      </c>
      <c r="L230">
        <v>1</v>
      </c>
      <c r="M230" s="6">
        <v>713</v>
      </c>
      <c r="N230" s="6">
        <v>1120</v>
      </c>
      <c r="O230" s="6">
        <f>Table1[[#This Row],[Unit_Price]]*Table1[[#This Row],[Order_Quantity]]</f>
        <v>1120</v>
      </c>
      <c r="P230" s="6">
        <f>Table1[[#This Row],[Unit_Cost]]*Table1[[#This Row],[Order_Quantity]]</f>
        <v>713</v>
      </c>
      <c r="Q230" s="4">
        <f>Table1[[#This Row],[total sales]]-Table1[[#This Row],[total cost]]</f>
        <v>407</v>
      </c>
      <c r="R230" s="6" t="s">
        <v>136</v>
      </c>
      <c r="S230" s="6" t="str">
        <f>_xlfn.CONCAT(Table1[[#This Row],[Sub_Category]],"-",Table1[[#This Row],[bike colour]])</f>
        <v>Road Bikes-yellow</v>
      </c>
    </row>
    <row r="231" spans="1:19" x14ac:dyDescent="0.3">
      <c r="A231" s="1">
        <v>44501</v>
      </c>
      <c r="B231">
        <v>1</v>
      </c>
      <c r="C231" t="s">
        <v>98</v>
      </c>
      <c r="D231">
        <v>2021</v>
      </c>
      <c r="E231">
        <v>17</v>
      </c>
      <c r="F231" t="s">
        <v>49</v>
      </c>
      <c r="G231" t="s">
        <v>122</v>
      </c>
      <c r="H231" t="s">
        <v>27</v>
      </c>
      <c r="I231" t="s">
        <v>45</v>
      </c>
      <c r="J231" t="s">
        <v>17</v>
      </c>
      <c r="K231" t="s">
        <v>41</v>
      </c>
      <c r="L231">
        <v>3</v>
      </c>
      <c r="M231" s="6">
        <v>713</v>
      </c>
      <c r="N231" s="6">
        <v>1120</v>
      </c>
      <c r="O231" s="6">
        <f>Table1[[#This Row],[Unit_Price]]*Table1[[#This Row],[Order_Quantity]]</f>
        <v>3360</v>
      </c>
      <c r="P231" s="6">
        <f>Table1[[#This Row],[Unit_Cost]]*Table1[[#This Row],[Order_Quantity]]</f>
        <v>2139</v>
      </c>
      <c r="Q231" s="4">
        <f>Table1[[#This Row],[total sales]]-Table1[[#This Row],[total cost]]</f>
        <v>1221</v>
      </c>
      <c r="R231" s="6" t="s">
        <v>138</v>
      </c>
      <c r="S231" s="6" t="str">
        <f>_xlfn.CONCAT(Table1[[#This Row],[Sub_Category]],"-",Table1[[#This Row],[bike colour]])</f>
        <v>Road Bikes-black</v>
      </c>
    </row>
    <row r="232" spans="1:19" x14ac:dyDescent="0.3">
      <c r="A232" s="1">
        <v>44501</v>
      </c>
      <c r="B232">
        <v>1</v>
      </c>
      <c r="C232" t="s">
        <v>98</v>
      </c>
      <c r="D232">
        <v>2021</v>
      </c>
      <c r="E232">
        <v>20</v>
      </c>
      <c r="F232" t="s">
        <v>49</v>
      </c>
      <c r="G232" t="s">
        <v>122</v>
      </c>
      <c r="H232" t="s">
        <v>27</v>
      </c>
      <c r="I232" t="s">
        <v>45</v>
      </c>
      <c r="J232" t="s">
        <v>17</v>
      </c>
      <c r="K232" t="s">
        <v>80</v>
      </c>
      <c r="L232">
        <v>1</v>
      </c>
      <c r="M232" s="6">
        <v>713</v>
      </c>
      <c r="N232" s="6">
        <v>1120</v>
      </c>
      <c r="O232" s="6">
        <f>Table1[[#This Row],[Unit_Price]]*Table1[[#This Row],[Order_Quantity]]</f>
        <v>1120</v>
      </c>
      <c r="P232" s="6">
        <f>Table1[[#This Row],[Unit_Cost]]*Table1[[#This Row],[Order_Quantity]]</f>
        <v>713</v>
      </c>
      <c r="Q232" s="4">
        <f>Table1[[#This Row],[total sales]]-Table1[[#This Row],[total cost]]</f>
        <v>407</v>
      </c>
      <c r="R232" s="6" t="s">
        <v>138</v>
      </c>
      <c r="S232" s="6" t="str">
        <f>_xlfn.CONCAT(Table1[[#This Row],[Sub_Category]],"-",Table1[[#This Row],[bike colour]])</f>
        <v>Road Bikes-black</v>
      </c>
    </row>
    <row r="233" spans="1:19" x14ac:dyDescent="0.3">
      <c r="A233" s="1">
        <v>44501</v>
      </c>
      <c r="B233">
        <v>1</v>
      </c>
      <c r="C233" t="s">
        <v>98</v>
      </c>
      <c r="D233">
        <v>2021</v>
      </c>
      <c r="E233">
        <v>37</v>
      </c>
      <c r="F233" t="s">
        <v>14</v>
      </c>
      <c r="G233" t="s">
        <v>122</v>
      </c>
      <c r="H233" t="s">
        <v>15</v>
      </c>
      <c r="I233" t="s">
        <v>16</v>
      </c>
      <c r="J233" t="s">
        <v>17</v>
      </c>
      <c r="K233" t="s">
        <v>99</v>
      </c>
      <c r="L233">
        <v>1</v>
      </c>
      <c r="M233" s="6">
        <v>713</v>
      </c>
      <c r="N233" s="6">
        <v>1120</v>
      </c>
      <c r="O233" s="6">
        <f>Table1[[#This Row],[Unit_Price]]*Table1[[#This Row],[Order_Quantity]]</f>
        <v>1120</v>
      </c>
      <c r="P233" s="6">
        <f>Table1[[#This Row],[Unit_Cost]]*Table1[[#This Row],[Order_Quantity]]</f>
        <v>713</v>
      </c>
      <c r="Q233" s="4">
        <f>Table1[[#This Row],[total sales]]-Table1[[#This Row],[total cost]]</f>
        <v>407</v>
      </c>
      <c r="R233" s="6" t="s">
        <v>137</v>
      </c>
      <c r="S233" s="6" t="str">
        <f>_xlfn.CONCAT(Table1[[#This Row],[Sub_Category]],"-",Table1[[#This Row],[bike colour]])</f>
        <v>Road Bikes-red</v>
      </c>
    </row>
    <row r="234" spans="1:19" x14ac:dyDescent="0.3">
      <c r="A234" s="1">
        <v>44501</v>
      </c>
      <c r="B234">
        <v>1</v>
      </c>
      <c r="C234" t="s">
        <v>98</v>
      </c>
      <c r="D234">
        <v>2021</v>
      </c>
      <c r="E234">
        <v>44</v>
      </c>
      <c r="F234" t="s">
        <v>14</v>
      </c>
      <c r="G234" t="s">
        <v>122</v>
      </c>
      <c r="H234" t="s">
        <v>23</v>
      </c>
      <c r="I234" t="s">
        <v>24</v>
      </c>
      <c r="J234" t="s">
        <v>17</v>
      </c>
      <c r="K234" t="s">
        <v>44</v>
      </c>
      <c r="L234">
        <v>1</v>
      </c>
      <c r="M234" s="6">
        <v>713</v>
      </c>
      <c r="N234" s="6">
        <v>1120</v>
      </c>
      <c r="O234" s="6">
        <f>Table1[[#This Row],[Unit_Price]]*Table1[[#This Row],[Order_Quantity]]</f>
        <v>1120</v>
      </c>
      <c r="P234" s="6">
        <f>Table1[[#This Row],[Unit_Cost]]*Table1[[#This Row],[Order_Quantity]]</f>
        <v>713</v>
      </c>
      <c r="Q234" s="4">
        <f>Table1[[#This Row],[total sales]]-Table1[[#This Row],[total cost]]</f>
        <v>407</v>
      </c>
      <c r="R234" s="6" t="s">
        <v>136</v>
      </c>
      <c r="S234" s="6" t="str">
        <f>_xlfn.CONCAT(Table1[[#This Row],[Sub_Category]],"-",Table1[[#This Row],[bike colour]])</f>
        <v>Road Bikes-yellow</v>
      </c>
    </row>
    <row r="235" spans="1:19" x14ac:dyDescent="0.3">
      <c r="A235" s="1">
        <v>44501</v>
      </c>
      <c r="B235">
        <v>1</v>
      </c>
      <c r="C235" t="s">
        <v>98</v>
      </c>
      <c r="D235">
        <v>2021</v>
      </c>
      <c r="E235">
        <v>48</v>
      </c>
      <c r="F235" t="s">
        <v>14</v>
      </c>
      <c r="G235" t="s">
        <v>122</v>
      </c>
      <c r="H235" t="s">
        <v>42</v>
      </c>
      <c r="I235" t="s">
        <v>86</v>
      </c>
      <c r="J235" t="s">
        <v>17</v>
      </c>
      <c r="K235" t="s">
        <v>100</v>
      </c>
      <c r="L235">
        <v>1</v>
      </c>
      <c r="M235" s="6">
        <v>713</v>
      </c>
      <c r="N235" s="6">
        <v>1120</v>
      </c>
      <c r="O235" s="6">
        <f>Table1[[#This Row],[Unit_Price]]*Table1[[#This Row],[Order_Quantity]]</f>
        <v>1120</v>
      </c>
      <c r="P235" s="6">
        <f>Table1[[#This Row],[Unit_Cost]]*Table1[[#This Row],[Order_Quantity]]</f>
        <v>713</v>
      </c>
      <c r="Q235" s="4">
        <f>Table1[[#This Row],[total sales]]-Table1[[#This Row],[total cost]]</f>
        <v>407</v>
      </c>
      <c r="R235" s="6" t="s">
        <v>138</v>
      </c>
      <c r="S235" s="6" t="str">
        <f>_xlfn.CONCAT(Table1[[#This Row],[Sub_Category]],"-",Table1[[#This Row],[bike colour]])</f>
        <v>Road Bikes-black</v>
      </c>
    </row>
    <row r="236" spans="1:19" x14ac:dyDescent="0.3">
      <c r="A236" s="1">
        <v>44501</v>
      </c>
      <c r="B236">
        <v>1</v>
      </c>
      <c r="C236" t="s">
        <v>98</v>
      </c>
      <c r="D236">
        <v>2021</v>
      </c>
      <c r="E236">
        <v>56</v>
      </c>
      <c r="F236" t="s">
        <v>14</v>
      </c>
      <c r="G236" t="s">
        <v>120</v>
      </c>
      <c r="H236" t="s">
        <v>15</v>
      </c>
      <c r="I236" t="s">
        <v>82</v>
      </c>
      <c r="J236" t="s">
        <v>17</v>
      </c>
      <c r="K236" t="s">
        <v>57</v>
      </c>
      <c r="L236">
        <v>1</v>
      </c>
      <c r="M236" s="6">
        <v>713</v>
      </c>
      <c r="N236" s="6">
        <v>1120</v>
      </c>
      <c r="O236" s="6">
        <f>Table1[[#This Row],[Unit_Price]]*Table1[[#This Row],[Order_Quantity]]</f>
        <v>1120</v>
      </c>
      <c r="P236" s="6">
        <f>Table1[[#This Row],[Unit_Cost]]*Table1[[#This Row],[Order_Quantity]]</f>
        <v>713</v>
      </c>
      <c r="Q236" s="4">
        <f>Table1[[#This Row],[total sales]]-Table1[[#This Row],[total cost]]</f>
        <v>407</v>
      </c>
      <c r="R236" s="6" t="s">
        <v>138</v>
      </c>
      <c r="S236" s="6" t="str">
        <f>_xlfn.CONCAT(Table1[[#This Row],[Sub_Category]],"-",Table1[[#This Row],[bike colour]])</f>
        <v>Road Bikes-black</v>
      </c>
    </row>
    <row r="237" spans="1:19" x14ac:dyDescent="0.3">
      <c r="A237" s="1">
        <v>44502</v>
      </c>
      <c r="B237">
        <v>2</v>
      </c>
      <c r="C237" t="s">
        <v>98</v>
      </c>
      <c r="D237">
        <v>2021</v>
      </c>
      <c r="E237">
        <v>19</v>
      </c>
      <c r="F237" t="s">
        <v>49</v>
      </c>
      <c r="G237" t="s">
        <v>122</v>
      </c>
      <c r="H237" t="s">
        <v>15</v>
      </c>
      <c r="I237" t="s">
        <v>16</v>
      </c>
      <c r="J237" t="s">
        <v>25</v>
      </c>
      <c r="K237" t="s">
        <v>97</v>
      </c>
      <c r="L237">
        <v>4</v>
      </c>
      <c r="M237" s="6">
        <v>713</v>
      </c>
      <c r="N237" s="6">
        <v>1120</v>
      </c>
      <c r="O237" s="6">
        <f>Table1[[#This Row],[Unit_Price]]*Table1[[#This Row],[Order_Quantity]]</f>
        <v>4480</v>
      </c>
      <c r="P237" s="6">
        <f>Table1[[#This Row],[Unit_Cost]]*Table1[[#This Row],[Order_Quantity]]</f>
        <v>2852</v>
      </c>
      <c r="Q237" s="4">
        <f>Table1[[#This Row],[total sales]]-Table1[[#This Row],[total cost]]</f>
        <v>1628</v>
      </c>
      <c r="R237" s="6" t="s">
        <v>139</v>
      </c>
      <c r="S237" s="6" t="str">
        <f>_xlfn.CONCAT(Table1[[#This Row],[Sub_Category]],"-",Table1[[#This Row],[bike colour]])</f>
        <v>Mountain Bikes-silver</v>
      </c>
    </row>
    <row r="238" spans="1:19" x14ac:dyDescent="0.3">
      <c r="A238" s="1">
        <v>44502</v>
      </c>
      <c r="B238">
        <v>2</v>
      </c>
      <c r="C238" t="s">
        <v>98</v>
      </c>
      <c r="D238">
        <v>2021</v>
      </c>
      <c r="E238">
        <v>41</v>
      </c>
      <c r="F238" t="s">
        <v>14</v>
      </c>
      <c r="G238" t="s">
        <v>120</v>
      </c>
      <c r="H238" t="s">
        <v>42</v>
      </c>
      <c r="I238" t="s">
        <v>86</v>
      </c>
      <c r="J238" t="s">
        <v>25</v>
      </c>
      <c r="K238" t="s">
        <v>62</v>
      </c>
      <c r="L238">
        <v>4</v>
      </c>
      <c r="M238" s="6">
        <v>713</v>
      </c>
      <c r="N238" s="6">
        <v>1120</v>
      </c>
      <c r="O238" s="6">
        <f>Table1[[#This Row],[Unit_Price]]*Table1[[#This Row],[Order_Quantity]]</f>
        <v>4480</v>
      </c>
      <c r="P238" s="6">
        <f>Table1[[#This Row],[Unit_Cost]]*Table1[[#This Row],[Order_Quantity]]</f>
        <v>2852</v>
      </c>
      <c r="Q238" s="4">
        <f>Table1[[#This Row],[total sales]]-Table1[[#This Row],[total cost]]</f>
        <v>1628</v>
      </c>
      <c r="R238" s="6" t="s">
        <v>139</v>
      </c>
      <c r="S238" s="6" t="str">
        <f>_xlfn.CONCAT(Table1[[#This Row],[Sub_Category]],"-",Table1[[#This Row],[bike colour]])</f>
        <v>Mountain Bikes-silver</v>
      </c>
    </row>
    <row r="239" spans="1:19" x14ac:dyDescent="0.3">
      <c r="A239" s="1">
        <v>44502</v>
      </c>
      <c r="B239">
        <v>2</v>
      </c>
      <c r="C239" t="s">
        <v>98</v>
      </c>
      <c r="D239">
        <v>2021</v>
      </c>
      <c r="E239">
        <v>17</v>
      </c>
      <c r="F239" t="s">
        <v>49</v>
      </c>
      <c r="G239" t="s">
        <v>122</v>
      </c>
      <c r="H239" t="s">
        <v>27</v>
      </c>
      <c r="I239" t="s">
        <v>33</v>
      </c>
      <c r="J239" t="s">
        <v>17</v>
      </c>
      <c r="K239" t="s">
        <v>99</v>
      </c>
      <c r="L239">
        <v>3</v>
      </c>
      <c r="M239" s="6">
        <v>713</v>
      </c>
      <c r="N239" s="6">
        <v>1120</v>
      </c>
      <c r="O239" s="6">
        <f>Table1[[#This Row],[Unit_Price]]*Table1[[#This Row],[Order_Quantity]]</f>
        <v>3360</v>
      </c>
      <c r="P239" s="6">
        <f>Table1[[#This Row],[Unit_Cost]]*Table1[[#This Row],[Order_Quantity]]</f>
        <v>2139</v>
      </c>
      <c r="Q239" s="4">
        <f>Table1[[#This Row],[total sales]]-Table1[[#This Row],[total cost]]</f>
        <v>1221</v>
      </c>
      <c r="R239" s="6" t="s">
        <v>137</v>
      </c>
      <c r="S239" s="6" t="str">
        <f>_xlfn.CONCAT(Table1[[#This Row],[Sub_Category]],"-",Table1[[#This Row],[bike colour]])</f>
        <v>Road Bikes-red</v>
      </c>
    </row>
    <row r="240" spans="1:19" x14ac:dyDescent="0.3">
      <c r="A240" s="1">
        <v>44502</v>
      </c>
      <c r="B240">
        <v>2</v>
      </c>
      <c r="C240" t="s">
        <v>98</v>
      </c>
      <c r="D240">
        <v>2021</v>
      </c>
      <c r="E240">
        <v>17</v>
      </c>
      <c r="F240" t="s">
        <v>49</v>
      </c>
      <c r="G240" t="s">
        <v>122</v>
      </c>
      <c r="H240" t="s">
        <v>27</v>
      </c>
      <c r="I240" t="s">
        <v>45</v>
      </c>
      <c r="J240" t="s">
        <v>17</v>
      </c>
      <c r="K240" t="s">
        <v>41</v>
      </c>
      <c r="L240">
        <v>3</v>
      </c>
      <c r="M240" s="6">
        <v>713</v>
      </c>
      <c r="N240" s="6">
        <v>1120</v>
      </c>
      <c r="O240" s="6">
        <f>Table1[[#This Row],[Unit_Price]]*Table1[[#This Row],[Order_Quantity]]</f>
        <v>3360</v>
      </c>
      <c r="P240" s="6">
        <f>Table1[[#This Row],[Unit_Cost]]*Table1[[#This Row],[Order_Quantity]]</f>
        <v>2139</v>
      </c>
      <c r="Q240" s="4">
        <f>Table1[[#This Row],[total sales]]-Table1[[#This Row],[total cost]]</f>
        <v>1221</v>
      </c>
      <c r="R240" s="6" t="s">
        <v>138</v>
      </c>
      <c r="S240" s="6" t="str">
        <f>_xlfn.CONCAT(Table1[[#This Row],[Sub_Category]],"-",Table1[[#This Row],[bike colour]])</f>
        <v>Road Bikes-black</v>
      </c>
    </row>
    <row r="241" spans="1:19" x14ac:dyDescent="0.3">
      <c r="A241" s="1">
        <v>44503</v>
      </c>
      <c r="B241">
        <v>3</v>
      </c>
      <c r="C241" t="s">
        <v>98</v>
      </c>
      <c r="D241">
        <v>2021</v>
      </c>
      <c r="E241">
        <v>18</v>
      </c>
      <c r="F241" t="s">
        <v>49</v>
      </c>
      <c r="G241" t="s">
        <v>120</v>
      </c>
      <c r="H241" t="s">
        <v>27</v>
      </c>
      <c r="I241" t="s">
        <v>28</v>
      </c>
      <c r="J241" t="s">
        <v>17</v>
      </c>
      <c r="K241" t="s">
        <v>59</v>
      </c>
      <c r="L241">
        <v>4</v>
      </c>
      <c r="M241" s="6">
        <v>713</v>
      </c>
      <c r="N241" s="6">
        <v>1120</v>
      </c>
      <c r="O241" s="6">
        <f>Table1[[#This Row],[Unit_Price]]*Table1[[#This Row],[Order_Quantity]]</f>
        <v>4480</v>
      </c>
      <c r="P241" s="6">
        <f>Table1[[#This Row],[Unit_Cost]]*Table1[[#This Row],[Order_Quantity]]</f>
        <v>2852</v>
      </c>
      <c r="Q241" s="4">
        <f>Table1[[#This Row],[total sales]]-Table1[[#This Row],[total cost]]</f>
        <v>1628</v>
      </c>
      <c r="R241" s="6" t="s">
        <v>137</v>
      </c>
      <c r="S241" s="6" t="str">
        <f>_xlfn.CONCAT(Table1[[#This Row],[Sub_Category]],"-",Table1[[#This Row],[bike colour]])</f>
        <v>Road Bikes-red</v>
      </c>
    </row>
    <row r="242" spans="1:19" x14ac:dyDescent="0.3">
      <c r="A242" s="1">
        <v>44503</v>
      </c>
      <c r="B242">
        <v>3</v>
      </c>
      <c r="C242" t="s">
        <v>98</v>
      </c>
      <c r="D242">
        <v>2021</v>
      </c>
      <c r="E242">
        <v>28</v>
      </c>
      <c r="F242" t="s">
        <v>19</v>
      </c>
      <c r="G242" t="s">
        <v>122</v>
      </c>
      <c r="H242" t="s">
        <v>23</v>
      </c>
      <c r="I242" t="s">
        <v>24</v>
      </c>
      <c r="J242" t="s">
        <v>17</v>
      </c>
      <c r="K242" t="s">
        <v>59</v>
      </c>
      <c r="L242">
        <v>4</v>
      </c>
      <c r="M242" s="6">
        <v>713</v>
      </c>
      <c r="N242" s="6">
        <v>1120</v>
      </c>
      <c r="O242" s="6">
        <f>Table1[[#This Row],[Unit_Price]]*Table1[[#This Row],[Order_Quantity]]</f>
        <v>4480</v>
      </c>
      <c r="P242" s="6">
        <f>Table1[[#This Row],[Unit_Cost]]*Table1[[#This Row],[Order_Quantity]]</f>
        <v>2852</v>
      </c>
      <c r="Q242" s="4">
        <f>Table1[[#This Row],[total sales]]-Table1[[#This Row],[total cost]]</f>
        <v>1628</v>
      </c>
      <c r="R242" s="6" t="s">
        <v>137</v>
      </c>
      <c r="S242" s="6" t="str">
        <f>_xlfn.CONCAT(Table1[[#This Row],[Sub_Category]],"-",Table1[[#This Row],[bike colour]])</f>
        <v>Road Bikes-red</v>
      </c>
    </row>
    <row r="243" spans="1:19" x14ac:dyDescent="0.3">
      <c r="A243" s="1">
        <v>44503</v>
      </c>
      <c r="B243">
        <v>3</v>
      </c>
      <c r="C243" t="s">
        <v>98</v>
      </c>
      <c r="D243">
        <v>2021</v>
      </c>
      <c r="E243">
        <v>24</v>
      </c>
      <c r="F243" t="s">
        <v>49</v>
      </c>
      <c r="G243" t="s">
        <v>120</v>
      </c>
      <c r="H243" t="s">
        <v>27</v>
      </c>
      <c r="I243" t="s">
        <v>33</v>
      </c>
      <c r="J243" t="s">
        <v>17</v>
      </c>
      <c r="K243" t="s">
        <v>57</v>
      </c>
      <c r="L243">
        <v>2</v>
      </c>
      <c r="M243" s="6">
        <v>713</v>
      </c>
      <c r="N243" s="6">
        <v>1120</v>
      </c>
      <c r="O243" s="6">
        <f>Table1[[#This Row],[Unit_Price]]*Table1[[#This Row],[Order_Quantity]]</f>
        <v>2240</v>
      </c>
      <c r="P243" s="6">
        <f>Table1[[#This Row],[Unit_Cost]]*Table1[[#This Row],[Order_Quantity]]</f>
        <v>1426</v>
      </c>
      <c r="Q243" s="4">
        <f>Table1[[#This Row],[total sales]]-Table1[[#This Row],[total cost]]</f>
        <v>814</v>
      </c>
      <c r="R243" s="6" t="s">
        <v>138</v>
      </c>
      <c r="S243" s="6" t="str">
        <f>_xlfn.CONCAT(Table1[[#This Row],[Sub_Category]],"-",Table1[[#This Row],[bike colour]])</f>
        <v>Road Bikes-black</v>
      </c>
    </row>
    <row r="244" spans="1:19" x14ac:dyDescent="0.3">
      <c r="A244" s="1">
        <v>44503</v>
      </c>
      <c r="B244">
        <v>3</v>
      </c>
      <c r="C244" t="s">
        <v>98</v>
      </c>
      <c r="D244">
        <v>2021</v>
      </c>
      <c r="E244">
        <v>29</v>
      </c>
      <c r="F244" t="s">
        <v>19</v>
      </c>
      <c r="G244" t="s">
        <v>122</v>
      </c>
      <c r="H244" t="s">
        <v>42</v>
      </c>
      <c r="I244" t="s">
        <v>68</v>
      </c>
      <c r="J244" t="s">
        <v>17</v>
      </c>
      <c r="K244" t="s">
        <v>38</v>
      </c>
      <c r="L244">
        <v>1</v>
      </c>
      <c r="M244" s="6">
        <v>713</v>
      </c>
      <c r="N244" s="6">
        <v>1120</v>
      </c>
      <c r="O244" s="6">
        <f>Table1[[#This Row],[Unit_Price]]*Table1[[#This Row],[Order_Quantity]]</f>
        <v>1120</v>
      </c>
      <c r="P244" s="6">
        <f>Table1[[#This Row],[Unit_Cost]]*Table1[[#This Row],[Order_Quantity]]</f>
        <v>713</v>
      </c>
      <c r="Q244" s="4">
        <f>Table1[[#This Row],[total sales]]-Table1[[#This Row],[total cost]]</f>
        <v>407</v>
      </c>
      <c r="R244" s="6" t="s">
        <v>137</v>
      </c>
      <c r="S244" s="6" t="str">
        <f>_xlfn.CONCAT(Table1[[#This Row],[Sub_Category]],"-",Table1[[#This Row],[bike colour]])</f>
        <v>Road Bikes-red</v>
      </c>
    </row>
    <row r="245" spans="1:19" x14ac:dyDescent="0.3">
      <c r="A245" s="1">
        <v>44503</v>
      </c>
      <c r="B245">
        <v>3</v>
      </c>
      <c r="C245" t="s">
        <v>98</v>
      </c>
      <c r="D245">
        <v>2021</v>
      </c>
      <c r="E245">
        <v>45</v>
      </c>
      <c r="F245" t="s">
        <v>14</v>
      </c>
      <c r="G245" t="s">
        <v>120</v>
      </c>
      <c r="H245" t="s">
        <v>20</v>
      </c>
      <c r="I245" t="s">
        <v>21</v>
      </c>
      <c r="J245" t="s">
        <v>25</v>
      </c>
      <c r="K245" t="s">
        <v>31</v>
      </c>
      <c r="L245">
        <v>1</v>
      </c>
      <c r="M245" s="6">
        <v>713</v>
      </c>
      <c r="N245" s="6">
        <v>1120</v>
      </c>
      <c r="O245" s="6">
        <f>Table1[[#This Row],[Unit_Price]]*Table1[[#This Row],[Order_Quantity]]</f>
        <v>1120</v>
      </c>
      <c r="P245" s="6">
        <f>Table1[[#This Row],[Unit_Cost]]*Table1[[#This Row],[Order_Quantity]]</f>
        <v>713</v>
      </c>
      <c r="Q245" s="4">
        <f>Table1[[#This Row],[total sales]]-Table1[[#This Row],[total cost]]</f>
        <v>407</v>
      </c>
      <c r="R245" s="6" t="s">
        <v>139</v>
      </c>
      <c r="S245" s="6" t="str">
        <f>_xlfn.CONCAT(Table1[[#This Row],[Sub_Category]],"-",Table1[[#This Row],[bike colour]])</f>
        <v>Mountain Bikes-silver</v>
      </c>
    </row>
    <row r="246" spans="1:19" x14ac:dyDescent="0.3">
      <c r="A246" s="1">
        <v>44503</v>
      </c>
      <c r="B246">
        <v>3</v>
      </c>
      <c r="C246" t="s">
        <v>98</v>
      </c>
      <c r="D246">
        <v>2021</v>
      </c>
      <c r="E246">
        <v>47</v>
      </c>
      <c r="F246" t="s">
        <v>14</v>
      </c>
      <c r="G246" t="s">
        <v>120</v>
      </c>
      <c r="H246" t="s">
        <v>15</v>
      </c>
      <c r="I246" t="s">
        <v>47</v>
      </c>
      <c r="J246" t="s">
        <v>25</v>
      </c>
      <c r="K246" t="s">
        <v>77</v>
      </c>
      <c r="L246">
        <v>1</v>
      </c>
      <c r="M246" s="6">
        <v>713</v>
      </c>
      <c r="N246" s="6">
        <v>1120</v>
      </c>
      <c r="O246" s="6">
        <f>Table1[[#This Row],[Unit_Price]]*Table1[[#This Row],[Order_Quantity]]</f>
        <v>1120</v>
      </c>
      <c r="P246" s="6">
        <f>Table1[[#This Row],[Unit_Cost]]*Table1[[#This Row],[Order_Quantity]]</f>
        <v>713</v>
      </c>
      <c r="Q246" s="4">
        <f>Table1[[#This Row],[total sales]]-Table1[[#This Row],[total cost]]</f>
        <v>407</v>
      </c>
      <c r="R246" s="6" t="s">
        <v>139</v>
      </c>
      <c r="S246" s="6" t="str">
        <f>_xlfn.CONCAT(Table1[[#This Row],[Sub_Category]],"-",Table1[[#This Row],[bike colour]])</f>
        <v>Mountain Bikes-silver</v>
      </c>
    </row>
    <row r="247" spans="1:19" x14ac:dyDescent="0.3">
      <c r="A247" s="1">
        <v>44504</v>
      </c>
      <c r="B247">
        <v>4</v>
      </c>
      <c r="C247" t="s">
        <v>98</v>
      </c>
      <c r="D247">
        <v>2021</v>
      </c>
      <c r="E247">
        <v>58</v>
      </c>
      <c r="F247" t="s">
        <v>14</v>
      </c>
      <c r="G247" t="s">
        <v>120</v>
      </c>
      <c r="H247" t="s">
        <v>15</v>
      </c>
      <c r="I247" t="s">
        <v>82</v>
      </c>
      <c r="J247" t="s">
        <v>17</v>
      </c>
      <c r="K247" t="s">
        <v>57</v>
      </c>
      <c r="L247">
        <v>1</v>
      </c>
      <c r="M247" s="6">
        <v>713</v>
      </c>
      <c r="N247" s="6">
        <v>1120</v>
      </c>
      <c r="O247" s="6">
        <f>Table1[[#This Row],[Unit_Price]]*Table1[[#This Row],[Order_Quantity]]</f>
        <v>1120</v>
      </c>
      <c r="P247" s="6">
        <f>Table1[[#This Row],[Unit_Cost]]*Table1[[#This Row],[Order_Quantity]]</f>
        <v>713</v>
      </c>
      <c r="Q247" s="4">
        <f>Table1[[#This Row],[total sales]]-Table1[[#This Row],[total cost]]</f>
        <v>407</v>
      </c>
      <c r="R247" s="6" t="s">
        <v>138</v>
      </c>
      <c r="S247" s="6" t="str">
        <f>_xlfn.CONCAT(Table1[[#This Row],[Sub_Category]],"-",Table1[[#This Row],[bike colour]])</f>
        <v>Road Bikes-black</v>
      </c>
    </row>
    <row r="248" spans="1:19" x14ac:dyDescent="0.3">
      <c r="A248" s="1">
        <v>44505</v>
      </c>
      <c r="B248">
        <v>5</v>
      </c>
      <c r="C248" t="s">
        <v>98</v>
      </c>
      <c r="D248">
        <v>2021</v>
      </c>
      <c r="E248">
        <v>25</v>
      </c>
      <c r="F248" t="s">
        <v>19</v>
      </c>
      <c r="G248" t="s">
        <v>120</v>
      </c>
      <c r="H248" t="s">
        <v>27</v>
      </c>
      <c r="I248" t="s">
        <v>33</v>
      </c>
      <c r="J248" t="s">
        <v>17</v>
      </c>
      <c r="K248" t="s">
        <v>57</v>
      </c>
      <c r="L248">
        <v>3</v>
      </c>
      <c r="M248" s="6">
        <v>713</v>
      </c>
      <c r="N248" s="6">
        <v>1120</v>
      </c>
      <c r="O248" s="6">
        <f>Table1[[#This Row],[Unit_Price]]*Table1[[#This Row],[Order_Quantity]]</f>
        <v>3360</v>
      </c>
      <c r="P248" s="6">
        <f>Table1[[#This Row],[Unit_Cost]]*Table1[[#This Row],[Order_Quantity]]</f>
        <v>2139</v>
      </c>
      <c r="Q248" s="4">
        <f>Table1[[#This Row],[total sales]]-Table1[[#This Row],[total cost]]</f>
        <v>1221</v>
      </c>
      <c r="R248" s="6" t="s">
        <v>138</v>
      </c>
      <c r="S248" s="6" t="str">
        <f>_xlfn.CONCAT(Table1[[#This Row],[Sub_Category]],"-",Table1[[#This Row],[bike colour]])</f>
        <v>Road Bikes-black</v>
      </c>
    </row>
    <row r="249" spans="1:19" x14ac:dyDescent="0.3">
      <c r="A249" s="1">
        <v>44505</v>
      </c>
      <c r="B249">
        <v>5</v>
      </c>
      <c r="C249" t="s">
        <v>98</v>
      </c>
      <c r="D249">
        <v>2021</v>
      </c>
      <c r="E249">
        <v>24</v>
      </c>
      <c r="F249" t="s">
        <v>49</v>
      </c>
      <c r="G249" t="s">
        <v>120</v>
      </c>
      <c r="H249" t="s">
        <v>42</v>
      </c>
      <c r="I249" t="s">
        <v>58</v>
      </c>
      <c r="J249" t="s">
        <v>17</v>
      </c>
      <c r="K249" t="s">
        <v>81</v>
      </c>
      <c r="L249">
        <v>2</v>
      </c>
      <c r="M249" s="6">
        <v>713</v>
      </c>
      <c r="N249" s="6">
        <v>1120</v>
      </c>
      <c r="O249" s="6">
        <f>Table1[[#This Row],[Unit_Price]]*Table1[[#This Row],[Order_Quantity]]</f>
        <v>2240</v>
      </c>
      <c r="P249" s="6">
        <f>Table1[[#This Row],[Unit_Cost]]*Table1[[#This Row],[Order_Quantity]]</f>
        <v>1426</v>
      </c>
      <c r="Q249" s="4">
        <f>Table1[[#This Row],[total sales]]-Table1[[#This Row],[total cost]]</f>
        <v>814</v>
      </c>
      <c r="R249" s="6" t="s">
        <v>136</v>
      </c>
      <c r="S249" s="6" t="str">
        <f>_xlfn.CONCAT(Table1[[#This Row],[Sub_Category]],"-",Table1[[#This Row],[bike colour]])</f>
        <v>Road Bikes-yellow</v>
      </c>
    </row>
    <row r="250" spans="1:19" x14ac:dyDescent="0.3">
      <c r="A250" s="1">
        <v>44505</v>
      </c>
      <c r="B250">
        <v>5</v>
      </c>
      <c r="C250" t="s">
        <v>98</v>
      </c>
      <c r="D250">
        <v>2021</v>
      </c>
      <c r="E250">
        <v>25</v>
      </c>
      <c r="F250" t="s">
        <v>19</v>
      </c>
      <c r="G250" t="s">
        <v>122</v>
      </c>
      <c r="H250" t="s">
        <v>15</v>
      </c>
      <c r="I250" t="s">
        <v>16</v>
      </c>
      <c r="J250" t="s">
        <v>17</v>
      </c>
      <c r="K250" t="s">
        <v>55</v>
      </c>
      <c r="L250">
        <v>1</v>
      </c>
      <c r="M250" s="6">
        <v>713</v>
      </c>
      <c r="N250" s="6">
        <v>1120</v>
      </c>
      <c r="O250" s="6">
        <f>Table1[[#This Row],[Unit_Price]]*Table1[[#This Row],[Order_Quantity]]</f>
        <v>1120</v>
      </c>
      <c r="P250" s="6">
        <f>Table1[[#This Row],[Unit_Cost]]*Table1[[#This Row],[Order_Quantity]]</f>
        <v>713</v>
      </c>
      <c r="Q250" s="4">
        <f>Table1[[#This Row],[total sales]]-Table1[[#This Row],[total cost]]</f>
        <v>407</v>
      </c>
      <c r="R250" s="6" t="s">
        <v>138</v>
      </c>
      <c r="S250" s="6" t="str">
        <f>_xlfn.CONCAT(Table1[[#This Row],[Sub_Category]],"-",Table1[[#This Row],[bike colour]])</f>
        <v>Road Bikes-black</v>
      </c>
    </row>
    <row r="251" spans="1:19" x14ac:dyDescent="0.3">
      <c r="A251" s="1">
        <v>44505</v>
      </c>
      <c r="B251">
        <v>5</v>
      </c>
      <c r="C251" t="s">
        <v>98</v>
      </c>
      <c r="D251">
        <v>2021</v>
      </c>
      <c r="E251">
        <v>25</v>
      </c>
      <c r="F251" t="s">
        <v>19</v>
      </c>
      <c r="G251" t="s">
        <v>122</v>
      </c>
      <c r="H251" t="s">
        <v>27</v>
      </c>
      <c r="I251" t="s">
        <v>28</v>
      </c>
      <c r="J251" t="s">
        <v>17</v>
      </c>
      <c r="K251" t="s">
        <v>18</v>
      </c>
      <c r="L251">
        <v>1</v>
      </c>
      <c r="M251" s="6">
        <v>713</v>
      </c>
      <c r="N251" s="6">
        <v>1120</v>
      </c>
      <c r="O251" s="6">
        <f>Table1[[#This Row],[Unit_Price]]*Table1[[#This Row],[Order_Quantity]]</f>
        <v>1120</v>
      </c>
      <c r="P251" s="6">
        <f>Table1[[#This Row],[Unit_Cost]]*Table1[[#This Row],[Order_Quantity]]</f>
        <v>713</v>
      </c>
      <c r="Q251" s="4">
        <f>Table1[[#This Row],[total sales]]-Table1[[#This Row],[total cost]]</f>
        <v>407</v>
      </c>
      <c r="R251" s="6" t="s">
        <v>136</v>
      </c>
      <c r="S251" s="6" t="str">
        <f>_xlfn.CONCAT(Table1[[#This Row],[Sub_Category]],"-",Table1[[#This Row],[bike colour]])</f>
        <v>Road Bikes-yellow</v>
      </c>
    </row>
    <row r="252" spans="1:19" x14ac:dyDescent="0.3">
      <c r="A252" s="1">
        <v>44505</v>
      </c>
      <c r="B252">
        <v>5</v>
      </c>
      <c r="C252" t="s">
        <v>98</v>
      </c>
      <c r="D252">
        <v>2021</v>
      </c>
      <c r="E252">
        <v>31</v>
      </c>
      <c r="F252" t="s">
        <v>19</v>
      </c>
      <c r="G252" t="s">
        <v>120</v>
      </c>
      <c r="H252" t="s">
        <v>15</v>
      </c>
      <c r="I252" t="s">
        <v>82</v>
      </c>
      <c r="J252" t="s">
        <v>17</v>
      </c>
      <c r="K252" t="s">
        <v>38</v>
      </c>
      <c r="L252">
        <v>1</v>
      </c>
      <c r="M252" s="6">
        <v>713</v>
      </c>
      <c r="N252" s="6">
        <v>1120</v>
      </c>
      <c r="O252" s="6">
        <f>Table1[[#This Row],[Unit_Price]]*Table1[[#This Row],[Order_Quantity]]</f>
        <v>1120</v>
      </c>
      <c r="P252" s="6">
        <f>Table1[[#This Row],[Unit_Cost]]*Table1[[#This Row],[Order_Quantity]]</f>
        <v>713</v>
      </c>
      <c r="Q252" s="4">
        <f>Table1[[#This Row],[total sales]]-Table1[[#This Row],[total cost]]</f>
        <v>407</v>
      </c>
      <c r="R252" s="6" t="s">
        <v>137</v>
      </c>
      <c r="S252" s="6" t="str">
        <f>_xlfn.CONCAT(Table1[[#This Row],[Sub_Category]],"-",Table1[[#This Row],[bike colour]])</f>
        <v>Road Bikes-red</v>
      </c>
    </row>
    <row r="253" spans="1:19" x14ac:dyDescent="0.3">
      <c r="A253" s="1">
        <v>44505</v>
      </c>
      <c r="B253">
        <v>5</v>
      </c>
      <c r="C253" t="s">
        <v>98</v>
      </c>
      <c r="D253">
        <v>2021</v>
      </c>
      <c r="E253">
        <v>34</v>
      </c>
      <c r="F253" t="s">
        <v>19</v>
      </c>
      <c r="G253" t="s">
        <v>120</v>
      </c>
      <c r="H253" t="s">
        <v>42</v>
      </c>
      <c r="I253" t="s">
        <v>86</v>
      </c>
      <c r="J253" t="s">
        <v>17</v>
      </c>
      <c r="K253" t="s">
        <v>41</v>
      </c>
      <c r="L253">
        <v>1</v>
      </c>
      <c r="M253" s="6">
        <v>713</v>
      </c>
      <c r="N253" s="6">
        <v>1120</v>
      </c>
      <c r="O253" s="6">
        <f>Table1[[#This Row],[Unit_Price]]*Table1[[#This Row],[Order_Quantity]]</f>
        <v>1120</v>
      </c>
      <c r="P253" s="6">
        <f>Table1[[#This Row],[Unit_Cost]]*Table1[[#This Row],[Order_Quantity]]</f>
        <v>713</v>
      </c>
      <c r="Q253" s="4">
        <f>Table1[[#This Row],[total sales]]-Table1[[#This Row],[total cost]]</f>
        <v>407</v>
      </c>
      <c r="R253" s="6" t="s">
        <v>138</v>
      </c>
      <c r="S253" s="6" t="str">
        <f>_xlfn.CONCAT(Table1[[#This Row],[Sub_Category]],"-",Table1[[#This Row],[bike colour]])</f>
        <v>Road Bikes-black</v>
      </c>
    </row>
    <row r="254" spans="1:19" x14ac:dyDescent="0.3">
      <c r="A254" s="1">
        <v>44506</v>
      </c>
      <c r="B254">
        <v>6</v>
      </c>
      <c r="C254" t="s">
        <v>98</v>
      </c>
      <c r="D254">
        <v>2021</v>
      </c>
      <c r="E254">
        <v>24</v>
      </c>
      <c r="F254" t="s">
        <v>49</v>
      </c>
      <c r="G254" t="s">
        <v>120</v>
      </c>
      <c r="H254" t="s">
        <v>50</v>
      </c>
      <c r="I254" t="s">
        <v>101</v>
      </c>
      <c r="J254" t="s">
        <v>17</v>
      </c>
      <c r="K254" t="s">
        <v>46</v>
      </c>
      <c r="L254">
        <v>3</v>
      </c>
      <c r="M254" s="6">
        <v>713</v>
      </c>
      <c r="N254" s="6">
        <v>1120</v>
      </c>
      <c r="O254" s="6">
        <f>Table1[[#This Row],[Unit_Price]]*Table1[[#This Row],[Order_Quantity]]</f>
        <v>3360</v>
      </c>
      <c r="P254" s="6">
        <f>Table1[[#This Row],[Unit_Cost]]*Table1[[#This Row],[Order_Quantity]]</f>
        <v>2139</v>
      </c>
      <c r="Q254" s="4">
        <f>Table1[[#This Row],[total sales]]-Table1[[#This Row],[total cost]]</f>
        <v>1221</v>
      </c>
      <c r="R254" s="6" t="s">
        <v>137</v>
      </c>
      <c r="S254" s="6" t="str">
        <f>_xlfn.CONCAT(Table1[[#This Row],[Sub_Category]],"-",Table1[[#This Row],[bike colour]])</f>
        <v>Road Bikes-red</v>
      </c>
    </row>
    <row r="255" spans="1:19" x14ac:dyDescent="0.3">
      <c r="A255" s="1">
        <v>44506</v>
      </c>
      <c r="B255">
        <v>6</v>
      </c>
      <c r="C255" t="s">
        <v>98</v>
      </c>
      <c r="D255">
        <v>2021</v>
      </c>
      <c r="E255">
        <v>36</v>
      </c>
      <c r="F255" t="s">
        <v>14</v>
      </c>
      <c r="G255" t="s">
        <v>120</v>
      </c>
      <c r="H255" t="s">
        <v>15</v>
      </c>
      <c r="I255" t="s">
        <v>16</v>
      </c>
      <c r="J255" t="s">
        <v>17</v>
      </c>
      <c r="K255" t="s">
        <v>32</v>
      </c>
      <c r="L255">
        <v>2</v>
      </c>
      <c r="M255" s="6">
        <v>713</v>
      </c>
      <c r="N255" s="6">
        <v>1120</v>
      </c>
      <c r="O255" s="6">
        <f>Table1[[#This Row],[Unit_Price]]*Table1[[#This Row],[Order_Quantity]]</f>
        <v>2240</v>
      </c>
      <c r="P255" s="6">
        <f>Table1[[#This Row],[Unit_Cost]]*Table1[[#This Row],[Order_Quantity]]</f>
        <v>1426</v>
      </c>
      <c r="Q255" s="4">
        <f>Table1[[#This Row],[total sales]]-Table1[[#This Row],[total cost]]</f>
        <v>814</v>
      </c>
      <c r="R255" s="6" t="s">
        <v>137</v>
      </c>
      <c r="S255" s="6" t="str">
        <f>_xlfn.CONCAT(Table1[[#This Row],[Sub_Category]],"-",Table1[[#This Row],[bike colour]])</f>
        <v>Road Bikes-red</v>
      </c>
    </row>
    <row r="256" spans="1:19" x14ac:dyDescent="0.3">
      <c r="A256" s="1">
        <v>44506</v>
      </c>
      <c r="B256">
        <v>6</v>
      </c>
      <c r="C256" t="s">
        <v>98</v>
      </c>
      <c r="D256">
        <v>2021</v>
      </c>
      <c r="E256">
        <v>40</v>
      </c>
      <c r="F256" t="s">
        <v>14</v>
      </c>
      <c r="G256" t="s">
        <v>120</v>
      </c>
      <c r="H256" t="s">
        <v>27</v>
      </c>
      <c r="I256" t="s">
        <v>30</v>
      </c>
      <c r="J256" t="s">
        <v>25</v>
      </c>
      <c r="K256" t="s">
        <v>56</v>
      </c>
      <c r="L256">
        <v>2</v>
      </c>
      <c r="M256" s="6">
        <v>713</v>
      </c>
      <c r="N256" s="6">
        <v>1120</v>
      </c>
      <c r="O256" s="6">
        <f>Table1[[#This Row],[Unit_Price]]*Table1[[#This Row],[Order_Quantity]]</f>
        <v>2240</v>
      </c>
      <c r="P256" s="6">
        <f>Table1[[#This Row],[Unit_Cost]]*Table1[[#This Row],[Order_Quantity]]</f>
        <v>1426</v>
      </c>
      <c r="Q256" s="4">
        <f>Table1[[#This Row],[total sales]]-Table1[[#This Row],[total cost]]</f>
        <v>814</v>
      </c>
      <c r="R256" s="6" t="s">
        <v>139</v>
      </c>
      <c r="S256" s="6" t="str">
        <f>_xlfn.CONCAT(Table1[[#This Row],[Sub_Category]],"-",Table1[[#This Row],[bike colour]])</f>
        <v>Mountain Bikes-silver</v>
      </c>
    </row>
    <row r="257" spans="1:19" x14ac:dyDescent="0.3">
      <c r="A257" s="1">
        <v>44506</v>
      </c>
      <c r="B257">
        <v>6</v>
      </c>
      <c r="C257" t="s">
        <v>98</v>
      </c>
      <c r="D257">
        <v>2021</v>
      </c>
      <c r="E257">
        <v>19</v>
      </c>
      <c r="F257" t="s">
        <v>49</v>
      </c>
      <c r="G257" t="s">
        <v>120</v>
      </c>
      <c r="H257" t="s">
        <v>27</v>
      </c>
      <c r="I257" t="s">
        <v>28</v>
      </c>
      <c r="J257" t="s">
        <v>17</v>
      </c>
      <c r="K257" t="s">
        <v>55</v>
      </c>
      <c r="L257">
        <v>1</v>
      </c>
      <c r="M257" s="6">
        <v>713</v>
      </c>
      <c r="N257" s="6">
        <v>1120</v>
      </c>
      <c r="O257" s="6">
        <f>Table1[[#This Row],[Unit_Price]]*Table1[[#This Row],[Order_Quantity]]</f>
        <v>1120</v>
      </c>
      <c r="P257" s="6">
        <f>Table1[[#This Row],[Unit_Cost]]*Table1[[#This Row],[Order_Quantity]]</f>
        <v>713</v>
      </c>
      <c r="Q257" s="4">
        <f>Table1[[#This Row],[total sales]]-Table1[[#This Row],[total cost]]</f>
        <v>407</v>
      </c>
      <c r="R257" s="6" t="s">
        <v>138</v>
      </c>
      <c r="S257" s="6" t="str">
        <f>_xlfn.CONCAT(Table1[[#This Row],[Sub_Category]],"-",Table1[[#This Row],[bike colour]])</f>
        <v>Road Bikes-black</v>
      </c>
    </row>
    <row r="258" spans="1:19" x14ac:dyDescent="0.3">
      <c r="A258" s="1">
        <v>44506</v>
      </c>
      <c r="B258">
        <v>6</v>
      </c>
      <c r="C258" t="s">
        <v>98</v>
      </c>
      <c r="D258">
        <v>2021</v>
      </c>
      <c r="E258">
        <v>24</v>
      </c>
      <c r="F258" t="s">
        <v>49</v>
      </c>
      <c r="G258" t="s">
        <v>120</v>
      </c>
      <c r="H258" t="s">
        <v>27</v>
      </c>
      <c r="I258" t="s">
        <v>45</v>
      </c>
      <c r="J258" t="s">
        <v>17</v>
      </c>
      <c r="K258" t="s">
        <v>18</v>
      </c>
      <c r="L258">
        <v>1</v>
      </c>
      <c r="M258" s="6">
        <v>713</v>
      </c>
      <c r="N258" s="6">
        <v>1120</v>
      </c>
      <c r="O258" s="6">
        <f>Table1[[#This Row],[Unit_Price]]*Table1[[#This Row],[Order_Quantity]]</f>
        <v>1120</v>
      </c>
      <c r="P258" s="6">
        <f>Table1[[#This Row],[Unit_Cost]]*Table1[[#This Row],[Order_Quantity]]</f>
        <v>713</v>
      </c>
      <c r="Q258" s="4">
        <f>Table1[[#This Row],[total sales]]-Table1[[#This Row],[total cost]]</f>
        <v>407</v>
      </c>
      <c r="R258" s="6" t="s">
        <v>136</v>
      </c>
      <c r="S258" s="6" t="str">
        <f>_xlfn.CONCAT(Table1[[#This Row],[Sub_Category]],"-",Table1[[#This Row],[bike colour]])</f>
        <v>Road Bikes-yellow</v>
      </c>
    </row>
    <row r="259" spans="1:19" x14ac:dyDescent="0.3">
      <c r="A259" s="1">
        <v>44506</v>
      </c>
      <c r="B259">
        <v>6</v>
      </c>
      <c r="C259" t="s">
        <v>98</v>
      </c>
      <c r="D259">
        <v>2021</v>
      </c>
      <c r="E259">
        <v>29</v>
      </c>
      <c r="F259" t="s">
        <v>19</v>
      </c>
      <c r="G259" t="s">
        <v>120</v>
      </c>
      <c r="H259" t="s">
        <v>50</v>
      </c>
      <c r="I259" t="s">
        <v>90</v>
      </c>
      <c r="J259" t="s">
        <v>17</v>
      </c>
      <c r="K259" t="s">
        <v>44</v>
      </c>
      <c r="L259">
        <v>1</v>
      </c>
      <c r="M259" s="6">
        <v>713</v>
      </c>
      <c r="N259" s="6">
        <v>1120</v>
      </c>
      <c r="O259" s="6">
        <f>Table1[[#This Row],[Unit_Price]]*Table1[[#This Row],[Order_Quantity]]</f>
        <v>1120</v>
      </c>
      <c r="P259" s="6">
        <f>Table1[[#This Row],[Unit_Cost]]*Table1[[#This Row],[Order_Quantity]]</f>
        <v>713</v>
      </c>
      <c r="Q259" s="4">
        <f>Table1[[#This Row],[total sales]]-Table1[[#This Row],[total cost]]</f>
        <v>407</v>
      </c>
      <c r="R259" s="6" t="s">
        <v>136</v>
      </c>
      <c r="S259" s="6" t="str">
        <f>_xlfn.CONCAT(Table1[[#This Row],[Sub_Category]],"-",Table1[[#This Row],[bike colour]])</f>
        <v>Road Bikes-yellow</v>
      </c>
    </row>
    <row r="260" spans="1:19" x14ac:dyDescent="0.3">
      <c r="A260" s="1">
        <v>44506</v>
      </c>
      <c r="B260">
        <v>6</v>
      </c>
      <c r="C260" t="s">
        <v>98</v>
      </c>
      <c r="D260">
        <v>2021</v>
      </c>
      <c r="E260">
        <v>29</v>
      </c>
      <c r="F260" t="s">
        <v>19</v>
      </c>
      <c r="G260" t="s">
        <v>120</v>
      </c>
      <c r="H260" t="s">
        <v>23</v>
      </c>
      <c r="I260" t="s">
        <v>24</v>
      </c>
      <c r="J260" t="s">
        <v>17</v>
      </c>
      <c r="K260" t="s">
        <v>65</v>
      </c>
      <c r="L260">
        <v>1</v>
      </c>
      <c r="M260" s="6">
        <v>713</v>
      </c>
      <c r="N260" s="6">
        <v>1120</v>
      </c>
      <c r="O260" s="6">
        <f>Table1[[#This Row],[Unit_Price]]*Table1[[#This Row],[Order_Quantity]]</f>
        <v>1120</v>
      </c>
      <c r="P260" s="6">
        <f>Table1[[#This Row],[Unit_Cost]]*Table1[[#This Row],[Order_Quantity]]</f>
        <v>713</v>
      </c>
      <c r="Q260" s="4">
        <f>Table1[[#This Row],[total sales]]-Table1[[#This Row],[total cost]]</f>
        <v>407</v>
      </c>
      <c r="R260" s="6" t="s">
        <v>136</v>
      </c>
      <c r="S260" s="6" t="str">
        <f>_xlfn.CONCAT(Table1[[#This Row],[Sub_Category]],"-",Table1[[#This Row],[bike colour]])</f>
        <v>Road Bikes-yellow</v>
      </c>
    </row>
    <row r="261" spans="1:19" x14ac:dyDescent="0.3">
      <c r="A261" s="1">
        <v>44506</v>
      </c>
      <c r="B261">
        <v>6</v>
      </c>
      <c r="C261" t="s">
        <v>98</v>
      </c>
      <c r="D261">
        <v>2021</v>
      </c>
      <c r="E261">
        <v>35</v>
      </c>
      <c r="F261" t="s">
        <v>14</v>
      </c>
      <c r="G261" t="s">
        <v>120</v>
      </c>
      <c r="H261" t="s">
        <v>42</v>
      </c>
      <c r="I261" t="s">
        <v>86</v>
      </c>
      <c r="J261" t="s">
        <v>17</v>
      </c>
      <c r="K261" t="s">
        <v>52</v>
      </c>
      <c r="L261">
        <v>1</v>
      </c>
      <c r="M261" s="6">
        <v>713</v>
      </c>
      <c r="N261" s="6">
        <v>1120</v>
      </c>
      <c r="O261" s="6">
        <f>Table1[[#This Row],[Unit_Price]]*Table1[[#This Row],[Order_Quantity]]</f>
        <v>1120</v>
      </c>
      <c r="P261" s="6">
        <f>Table1[[#This Row],[Unit_Cost]]*Table1[[#This Row],[Order_Quantity]]</f>
        <v>713</v>
      </c>
      <c r="Q261" s="4">
        <f>Table1[[#This Row],[total sales]]-Table1[[#This Row],[total cost]]</f>
        <v>407</v>
      </c>
      <c r="R261" s="6" t="s">
        <v>138</v>
      </c>
      <c r="S261" s="6" t="str">
        <f>_xlfn.CONCAT(Table1[[#This Row],[Sub_Category]],"-",Table1[[#This Row],[bike colour]])</f>
        <v>Road Bikes-black</v>
      </c>
    </row>
    <row r="262" spans="1:19" x14ac:dyDescent="0.3">
      <c r="A262" s="1">
        <v>44506</v>
      </c>
      <c r="B262">
        <v>6</v>
      </c>
      <c r="C262" t="s">
        <v>98</v>
      </c>
      <c r="D262">
        <v>2021</v>
      </c>
      <c r="E262">
        <v>40</v>
      </c>
      <c r="F262" t="s">
        <v>14</v>
      </c>
      <c r="G262" t="s">
        <v>120</v>
      </c>
      <c r="H262" t="s">
        <v>27</v>
      </c>
      <c r="I262" t="s">
        <v>33</v>
      </c>
      <c r="J262" t="s">
        <v>17</v>
      </c>
      <c r="K262" t="s">
        <v>57</v>
      </c>
      <c r="L262">
        <v>1</v>
      </c>
      <c r="M262" s="6">
        <v>713</v>
      </c>
      <c r="N262" s="6">
        <v>1120</v>
      </c>
      <c r="O262" s="6">
        <f>Table1[[#This Row],[Unit_Price]]*Table1[[#This Row],[Order_Quantity]]</f>
        <v>1120</v>
      </c>
      <c r="P262" s="6">
        <f>Table1[[#This Row],[Unit_Cost]]*Table1[[#This Row],[Order_Quantity]]</f>
        <v>713</v>
      </c>
      <c r="Q262" s="4">
        <f>Table1[[#This Row],[total sales]]-Table1[[#This Row],[total cost]]</f>
        <v>407</v>
      </c>
      <c r="R262" s="6" t="s">
        <v>138</v>
      </c>
      <c r="S262" s="6" t="str">
        <f>_xlfn.CONCAT(Table1[[#This Row],[Sub_Category]],"-",Table1[[#This Row],[bike colour]])</f>
        <v>Road Bikes-black</v>
      </c>
    </row>
    <row r="263" spans="1:19" x14ac:dyDescent="0.3">
      <c r="A263" s="1">
        <v>44507</v>
      </c>
      <c r="B263">
        <v>7</v>
      </c>
      <c r="C263" t="s">
        <v>98</v>
      </c>
      <c r="D263">
        <v>2021</v>
      </c>
      <c r="E263">
        <v>56</v>
      </c>
      <c r="F263" t="s">
        <v>14</v>
      </c>
      <c r="G263" t="s">
        <v>120</v>
      </c>
      <c r="H263" t="s">
        <v>15</v>
      </c>
      <c r="I263" t="s">
        <v>16</v>
      </c>
      <c r="J263" t="s">
        <v>17</v>
      </c>
      <c r="K263" t="s">
        <v>91</v>
      </c>
      <c r="L263">
        <v>4</v>
      </c>
      <c r="M263" s="6">
        <v>713</v>
      </c>
      <c r="N263" s="6">
        <v>1120</v>
      </c>
      <c r="O263" s="6">
        <f>Table1[[#This Row],[Unit_Price]]*Table1[[#This Row],[Order_Quantity]]</f>
        <v>4480</v>
      </c>
      <c r="P263" s="6">
        <f>Table1[[#This Row],[Unit_Cost]]*Table1[[#This Row],[Order_Quantity]]</f>
        <v>2852</v>
      </c>
      <c r="Q263" s="4">
        <f>Table1[[#This Row],[total sales]]-Table1[[#This Row],[total cost]]</f>
        <v>1628</v>
      </c>
      <c r="R263" s="6" t="s">
        <v>136</v>
      </c>
      <c r="S263" s="6" t="str">
        <f>_xlfn.CONCAT(Table1[[#This Row],[Sub_Category]],"-",Table1[[#This Row],[bike colour]])</f>
        <v>Road Bikes-yellow</v>
      </c>
    </row>
    <row r="264" spans="1:19" x14ac:dyDescent="0.3">
      <c r="A264" s="1">
        <v>44507</v>
      </c>
      <c r="B264">
        <v>7</v>
      </c>
      <c r="C264" t="s">
        <v>98</v>
      </c>
      <c r="D264">
        <v>2021</v>
      </c>
      <c r="E264">
        <v>25</v>
      </c>
      <c r="F264" t="s">
        <v>19</v>
      </c>
      <c r="G264" t="s">
        <v>120</v>
      </c>
      <c r="H264" t="s">
        <v>15</v>
      </c>
      <c r="I264" t="s">
        <v>82</v>
      </c>
      <c r="J264" t="s">
        <v>17</v>
      </c>
      <c r="K264" t="s">
        <v>18</v>
      </c>
      <c r="L264">
        <v>3</v>
      </c>
      <c r="M264" s="6">
        <v>713</v>
      </c>
      <c r="N264" s="6">
        <v>1120</v>
      </c>
      <c r="O264" s="6">
        <f>Table1[[#This Row],[Unit_Price]]*Table1[[#This Row],[Order_Quantity]]</f>
        <v>3360</v>
      </c>
      <c r="P264" s="6">
        <f>Table1[[#This Row],[Unit_Cost]]*Table1[[#This Row],[Order_Quantity]]</f>
        <v>2139</v>
      </c>
      <c r="Q264" s="4">
        <f>Table1[[#This Row],[total sales]]-Table1[[#This Row],[total cost]]</f>
        <v>1221</v>
      </c>
      <c r="R264" s="6" t="s">
        <v>136</v>
      </c>
      <c r="S264" s="6" t="str">
        <f>_xlfn.CONCAT(Table1[[#This Row],[Sub_Category]],"-",Table1[[#This Row],[bike colour]])</f>
        <v>Road Bikes-yellow</v>
      </c>
    </row>
    <row r="265" spans="1:19" x14ac:dyDescent="0.3">
      <c r="A265" s="1">
        <v>44507</v>
      </c>
      <c r="B265">
        <v>7</v>
      </c>
      <c r="C265" t="s">
        <v>98</v>
      </c>
      <c r="D265">
        <v>2021</v>
      </c>
      <c r="E265">
        <v>50</v>
      </c>
      <c r="F265" t="s">
        <v>14</v>
      </c>
      <c r="G265" t="s">
        <v>122</v>
      </c>
      <c r="H265" t="s">
        <v>42</v>
      </c>
      <c r="I265" t="s">
        <v>58</v>
      </c>
      <c r="J265" t="s">
        <v>17</v>
      </c>
      <c r="K265" t="s">
        <v>32</v>
      </c>
      <c r="L265">
        <v>2</v>
      </c>
      <c r="M265" s="6">
        <v>713</v>
      </c>
      <c r="N265" s="6">
        <v>1120</v>
      </c>
      <c r="O265" s="6">
        <f>Table1[[#This Row],[Unit_Price]]*Table1[[#This Row],[Order_Quantity]]</f>
        <v>2240</v>
      </c>
      <c r="P265" s="6">
        <f>Table1[[#This Row],[Unit_Cost]]*Table1[[#This Row],[Order_Quantity]]</f>
        <v>1426</v>
      </c>
      <c r="Q265" s="4">
        <f>Table1[[#This Row],[total sales]]-Table1[[#This Row],[total cost]]</f>
        <v>814</v>
      </c>
      <c r="R265" s="6" t="s">
        <v>137</v>
      </c>
      <c r="S265" s="6" t="str">
        <f>_xlfn.CONCAT(Table1[[#This Row],[Sub_Category]],"-",Table1[[#This Row],[bike colour]])</f>
        <v>Road Bikes-red</v>
      </c>
    </row>
    <row r="266" spans="1:19" x14ac:dyDescent="0.3">
      <c r="A266" s="1">
        <v>44507</v>
      </c>
      <c r="B266">
        <v>7</v>
      </c>
      <c r="C266" t="s">
        <v>98</v>
      </c>
      <c r="D266">
        <v>2021</v>
      </c>
      <c r="E266">
        <v>18</v>
      </c>
      <c r="F266" t="s">
        <v>49</v>
      </c>
      <c r="G266" t="s">
        <v>120</v>
      </c>
      <c r="H266" t="s">
        <v>27</v>
      </c>
      <c r="I266" t="s">
        <v>28</v>
      </c>
      <c r="J266" t="s">
        <v>17</v>
      </c>
      <c r="K266" t="s">
        <v>59</v>
      </c>
      <c r="L266">
        <v>1</v>
      </c>
      <c r="M266" s="6">
        <v>713</v>
      </c>
      <c r="N266" s="6">
        <v>1120</v>
      </c>
      <c r="O266" s="6">
        <f>Table1[[#This Row],[Unit_Price]]*Table1[[#This Row],[Order_Quantity]]</f>
        <v>1120</v>
      </c>
      <c r="P266" s="6">
        <f>Table1[[#This Row],[Unit_Cost]]*Table1[[#This Row],[Order_Quantity]]</f>
        <v>713</v>
      </c>
      <c r="Q266" s="4">
        <f>Table1[[#This Row],[total sales]]-Table1[[#This Row],[total cost]]</f>
        <v>407</v>
      </c>
      <c r="R266" s="6" t="s">
        <v>137</v>
      </c>
      <c r="S266" s="6" t="str">
        <f>_xlfn.CONCAT(Table1[[#This Row],[Sub_Category]],"-",Table1[[#This Row],[bike colour]])</f>
        <v>Road Bikes-red</v>
      </c>
    </row>
    <row r="267" spans="1:19" x14ac:dyDescent="0.3">
      <c r="A267" s="1">
        <v>44507</v>
      </c>
      <c r="B267">
        <v>7</v>
      </c>
      <c r="C267" t="s">
        <v>98</v>
      </c>
      <c r="D267">
        <v>2021</v>
      </c>
      <c r="E267">
        <v>29</v>
      </c>
      <c r="F267" t="s">
        <v>19</v>
      </c>
      <c r="G267" t="s">
        <v>122</v>
      </c>
      <c r="H267" t="s">
        <v>15</v>
      </c>
      <c r="I267" t="s">
        <v>16</v>
      </c>
      <c r="J267" t="s">
        <v>25</v>
      </c>
      <c r="K267" t="s">
        <v>26</v>
      </c>
      <c r="L267">
        <v>1</v>
      </c>
      <c r="M267" s="6">
        <v>713</v>
      </c>
      <c r="N267" s="6">
        <v>1120</v>
      </c>
      <c r="O267" s="6">
        <f>Table1[[#This Row],[Unit_Price]]*Table1[[#This Row],[Order_Quantity]]</f>
        <v>1120</v>
      </c>
      <c r="P267" s="6">
        <f>Table1[[#This Row],[Unit_Cost]]*Table1[[#This Row],[Order_Quantity]]</f>
        <v>713</v>
      </c>
      <c r="Q267" s="4">
        <f>Table1[[#This Row],[total sales]]-Table1[[#This Row],[total cost]]</f>
        <v>407</v>
      </c>
      <c r="R267" s="6" t="s">
        <v>138</v>
      </c>
      <c r="S267" s="6" t="str">
        <f>_xlfn.CONCAT(Table1[[#This Row],[Sub_Category]],"-",Table1[[#This Row],[bike colour]])</f>
        <v>Mountain Bikes-black</v>
      </c>
    </row>
    <row r="268" spans="1:19" x14ac:dyDescent="0.3">
      <c r="A268" s="1">
        <v>44508</v>
      </c>
      <c r="B268">
        <v>8</v>
      </c>
      <c r="C268" t="s">
        <v>98</v>
      </c>
      <c r="D268">
        <v>2021</v>
      </c>
      <c r="E268">
        <v>25</v>
      </c>
      <c r="F268" t="s">
        <v>19</v>
      </c>
      <c r="G268" t="s">
        <v>122</v>
      </c>
      <c r="H268" t="s">
        <v>27</v>
      </c>
      <c r="I268" t="s">
        <v>33</v>
      </c>
      <c r="J268" t="s">
        <v>17</v>
      </c>
      <c r="K268" t="s">
        <v>91</v>
      </c>
      <c r="L268">
        <v>4</v>
      </c>
      <c r="M268" s="6">
        <v>713</v>
      </c>
      <c r="N268" s="6">
        <v>1120</v>
      </c>
      <c r="O268" s="6">
        <f>Table1[[#This Row],[Unit_Price]]*Table1[[#This Row],[Order_Quantity]]</f>
        <v>4480</v>
      </c>
      <c r="P268" s="6">
        <f>Table1[[#This Row],[Unit_Cost]]*Table1[[#This Row],[Order_Quantity]]</f>
        <v>2852</v>
      </c>
      <c r="Q268" s="4">
        <f>Table1[[#This Row],[total sales]]-Table1[[#This Row],[total cost]]</f>
        <v>1628</v>
      </c>
      <c r="R268" s="6" t="s">
        <v>136</v>
      </c>
      <c r="S268" s="6" t="str">
        <f>_xlfn.CONCAT(Table1[[#This Row],[Sub_Category]],"-",Table1[[#This Row],[bike colour]])</f>
        <v>Road Bikes-yellow</v>
      </c>
    </row>
    <row r="269" spans="1:19" x14ac:dyDescent="0.3">
      <c r="A269" s="1">
        <v>44508</v>
      </c>
      <c r="B269">
        <v>8</v>
      </c>
      <c r="C269" t="s">
        <v>98</v>
      </c>
      <c r="D269">
        <v>2021</v>
      </c>
      <c r="E269">
        <v>35</v>
      </c>
      <c r="F269" t="s">
        <v>14</v>
      </c>
      <c r="G269" t="s">
        <v>122</v>
      </c>
      <c r="H269" t="s">
        <v>20</v>
      </c>
      <c r="I269" t="s">
        <v>21</v>
      </c>
      <c r="J269" t="s">
        <v>25</v>
      </c>
      <c r="K269" t="s">
        <v>39</v>
      </c>
      <c r="L269">
        <v>2</v>
      </c>
      <c r="M269" s="6">
        <v>713</v>
      </c>
      <c r="N269" s="6">
        <v>1120</v>
      </c>
      <c r="O269" s="6">
        <f>Table1[[#This Row],[Unit_Price]]*Table1[[#This Row],[Order_Quantity]]</f>
        <v>2240</v>
      </c>
      <c r="P269" s="6">
        <f>Table1[[#This Row],[Unit_Cost]]*Table1[[#This Row],[Order_Quantity]]</f>
        <v>1426</v>
      </c>
      <c r="Q269" s="4">
        <f>Table1[[#This Row],[total sales]]-Table1[[#This Row],[total cost]]</f>
        <v>814</v>
      </c>
      <c r="R269" s="6" t="s">
        <v>138</v>
      </c>
      <c r="S269" s="6" t="str">
        <f>_xlfn.CONCAT(Table1[[#This Row],[Sub_Category]],"-",Table1[[#This Row],[bike colour]])</f>
        <v>Mountain Bikes-black</v>
      </c>
    </row>
    <row r="270" spans="1:19" x14ac:dyDescent="0.3">
      <c r="A270" s="1">
        <v>44508</v>
      </c>
      <c r="B270">
        <v>8</v>
      </c>
      <c r="C270" t="s">
        <v>98</v>
      </c>
      <c r="D270">
        <v>2021</v>
      </c>
      <c r="E270">
        <v>17</v>
      </c>
      <c r="F270" t="s">
        <v>49</v>
      </c>
      <c r="G270" t="s">
        <v>122</v>
      </c>
      <c r="H270" t="s">
        <v>27</v>
      </c>
      <c r="I270" t="s">
        <v>33</v>
      </c>
      <c r="J270" t="s">
        <v>17</v>
      </c>
      <c r="K270" t="s">
        <v>99</v>
      </c>
      <c r="L270">
        <v>1</v>
      </c>
      <c r="M270" s="6">
        <v>713</v>
      </c>
      <c r="N270" s="6">
        <v>1120</v>
      </c>
      <c r="O270" s="6">
        <f>Table1[[#This Row],[Unit_Price]]*Table1[[#This Row],[Order_Quantity]]</f>
        <v>1120</v>
      </c>
      <c r="P270" s="6">
        <f>Table1[[#This Row],[Unit_Cost]]*Table1[[#This Row],[Order_Quantity]]</f>
        <v>713</v>
      </c>
      <c r="Q270" s="4">
        <f>Table1[[#This Row],[total sales]]-Table1[[#This Row],[total cost]]</f>
        <v>407</v>
      </c>
      <c r="R270" s="6" t="s">
        <v>137</v>
      </c>
      <c r="S270" s="6" t="str">
        <f>_xlfn.CONCAT(Table1[[#This Row],[Sub_Category]],"-",Table1[[#This Row],[bike colour]])</f>
        <v>Road Bikes-red</v>
      </c>
    </row>
    <row r="271" spans="1:19" x14ac:dyDescent="0.3">
      <c r="A271" s="1">
        <v>44508</v>
      </c>
      <c r="B271">
        <v>8</v>
      </c>
      <c r="C271" t="s">
        <v>98</v>
      </c>
      <c r="D271">
        <v>2021</v>
      </c>
      <c r="E271">
        <v>39</v>
      </c>
      <c r="F271" t="s">
        <v>14</v>
      </c>
      <c r="G271" t="s">
        <v>122</v>
      </c>
      <c r="H271" t="s">
        <v>27</v>
      </c>
      <c r="I271" t="s">
        <v>45</v>
      </c>
      <c r="J271" t="s">
        <v>25</v>
      </c>
      <c r="K271" t="s">
        <v>95</v>
      </c>
      <c r="L271">
        <v>1</v>
      </c>
      <c r="M271" s="6">
        <v>713</v>
      </c>
      <c r="N271" s="6">
        <v>1120</v>
      </c>
      <c r="O271" s="6">
        <f>Table1[[#This Row],[Unit_Price]]*Table1[[#This Row],[Order_Quantity]]</f>
        <v>1120</v>
      </c>
      <c r="P271" s="6">
        <f>Table1[[#This Row],[Unit_Cost]]*Table1[[#This Row],[Order_Quantity]]</f>
        <v>713</v>
      </c>
      <c r="Q271" s="4">
        <f>Table1[[#This Row],[total sales]]-Table1[[#This Row],[total cost]]</f>
        <v>407</v>
      </c>
      <c r="R271" s="6" t="s">
        <v>139</v>
      </c>
      <c r="S271" s="6" t="str">
        <f>_xlfn.CONCAT(Table1[[#This Row],[Sub_Category]],"-",Table1[[#This Row],[bike colour]])</f>
        <v>Mountain Bikes-silver</v>
      </c>
    </row>
    <row r="272" spans="1:19" x14ac:dyDescent="0.3">
      <c r="A272" s="1">
        <v>44508</v>
      </c>
      <c r="B272">
        <v>8</v>
      </c>
      <c r="C272" t="s">
        <v>98</v>
      </c>
      <c r="D272">
        <v>2021</v>
      </c>
      <c r="E272">
        <v>40</v>
      </c>
      <c r="F272" t="s">
        <v>14</v>
      </c>
      <c r="G272" t="s">
        <v>122</v>
      </c>
      <c r="H272" t="s">
        <v>27</v>
      </c>
      <c r="I272" t="s">
        <v>33</v>
      </c>
      <c r="J272" t="s">
        <v>17</v>
      </c>
      <c r="K272" t="s">
        <v>46</v>
      </c>
      <c r="L272">
        <v>1</v>
      </c>
      <c r="M272" s="6">
        <v>713</v>
      </c>
      <c r="N272" s="6">
        <v>1120</v>
      </c>
      <c r="O272" s="6">
        <f>Table1[[#This Row],[Unit_Price]]*Table1[[#This Row],[Order_Quantity]]</f>
        <v>1120</v>
      </c>
      <c r="P272" s="6">
        <f>Table1[[#This Row],[Unit_Cost]]*Table1[[#This Row],[Order_Quantity]]</f>
        <v>713</v>
      </c>
      <c r="Q272" s="4">
        <f>Table1[[#This Row],[total sales]]-Table1[[#This Row],[total cost]]</f>
        <v>407</v>
      </c>
      <c r="R272" s="6" t="s">
        <v>137</v>
      </c>
      <c r="S272" s="6" t="str">
        <f>_xlfn.CONCAT(Table1[[#This Row],[Sub_Category]],"-",Table1[[#This Row],[bike colour]])</f>
        <v>Road Bikes-red</v>
      </c>
    </row>
    <row r="273" spans="1:19" x14ac:dyDescent="0.3">
      <c r="A273" s="1">
        <v>44508</v>
      </c>
      <c r="B273">
        <v>8</v>
      </c>
      <c r="C273" t="s">
        <v>98</v>
      </c>
      <c r="D273">
        <v>2021</v>
      </c>
      <c r="E273">
        <v>41</v>
      </c>
      <c r="F273" t="s">
        <v>14</v>
      </c>
      <c r="G273" t="s">
        <v>122</v>
      </c>
      <c r="H273" t="s">
        <v>23</v>
      </c>
      <c r="I273" t="s">
        <v>24</v>
      </c>
      <c r="J273" t="s">
        <v>17</v>
      </c>
      <c r="K273" t="s">
        <v>75</v>
      </c>
      <c r="L273">
        <v>1</v>
      </c>
      <c r="M273" s="6">
        <v>713</v>
      </c>
      <c r="N273" s="6">
        <v>1120</v>
      </c>
      <c r="O273" s="6">
        <f>Table1[[#This Row],[Unit_Price]]*Table1[[#This Row],[Order_Quantity]]</f>
        <v>1120</v>
      </c>
      <c r="P273" s="6">
        <f>Table1[[#This Row],[Unit_Cost]]*Table1[[#This Row],[Order_Quantity]]</f>
        <v>713</v>
      </c>
      <c r="Q273" s="4">
        <f>Table1[[#This Row],[total sales]]-Table1[[#This Row],[total cost]]</f>
        <v>407</v>
      </c>
      <c r="R273" s="6" t="s">
        <v>137</v>
      </c>
      <c r="S273" s="6" t="str">
        <f>_xlfn.CONCAT(Table1[[#This Row],[Sub_Category]],"-",Table1[[#This Row],[bike colour]])</f>
        <v>Road Bikes-red</v>
      </c>
    </row>
    <row r="274" spans="1:19" x14ac:dyDescent="0.3">
      <c r="A274" s="1">
        <v>44508</v>
      </c>
      <c r="B274">
        <v>8</v>
      </c>
      <c r="C274" t="s">
        <v>98</v>
      </c>
      <c r="D274">
        <v>2021</v>
      </c>
      <c r="E274">
        <v>46</v>
      </c>
      <c r="F274" t="s">
        <v>14</v>
      </c>
      <c r="G274" t="s">
        <v>122</v>
      </c>
      <c r="H274" t="s">
        <v>15</v>
      </c>
      <c r="I274" t="s">
        <v>47</v>
      </c>
      <c r="J274" t="s">
        <v>25</v>
      </c>
      <c r="K274" t="s">
        <v>34</v>
      </c>
      <c r="L274">
        <v>1</v>
      </c>
      <c r="M274" s="6">
        <v>713</v>
      </c>
      <c r="N274" s="6">
        <v>1120</v>
      </c>
      <c r="O274" s="6">
        <f>Table1[[#This Row],[Unit_Price]]*Table1[[#This Row],[Order_Quantity]]</f>
        <v>1120</v>
      </c>
      <c r="P274" s="6">
        <f>Table1[[#This Row],[Unit_Cost]]*Table1[[#This Row],[Order_Quantity]]</f>
        <v>713</v>
      </c>
      <c r="Q274" s="4">
        <f>Table1[[#This Row],[total sales]]-Table1[[#This Row],[total cost]]</f>
        <v>407</v>
      </c>
      <c r="R274" s="6" t="s">
        <v>138</v>
      </c>
      <c r="S274" s="6" t="str">
        <f>_xlfn.CONCAT(Table1[[#This Row],[Sub_Category]],"-",Table1[[#This Row],[bike colour]])</f>
        <v>Mountain Bikes-black</v>
      </c>
    </row>
    <row r="275" spans="1:19" x14ac:dyDescent="0.3">
      <c r="A275" s="1">
        <v>44509</v>
      </c>
      <c r="B275">
        <v>9</v>
      </c>
      <c r="C275" t="s">
        <v>98</v>
      </c>
      <c r="D275">
        <v>2021</v>
      </c>
      <c r="E275">
        <v>33</v>
      </c>
      <c r="F275" t="s">
        <v>19</v>
      </c>
      <c r="G275" t="s">
        <v>120</v>
      </c>
      <c r="H275" t="s">
        <v>50</v>
      </c>
      <c r="I275" t="s">
        <v>51</v>
      </c>
      <c r="J275" t="s">
        <v>17</v>
      </c>
      <c r="K275" t="s">
        <v>81</v>
      </c>
      <c r="L275">
        <v>4</v>
      </c>
      <c r="M275" s="6">
        <v>713</v>
      </c>
      <c r="N275" s="6">
        <v>1120</v>
      </c>
      <c r="O275" s="6">
        <f>Table1[[#This Row],[Unit_Price]]*Table1[[#This Row],[Order_Quantity]]</f>
        <v>4480</v>
      </c>
      <c r="P275" s="6">
        <f>Table1[[#This Row],[Unit_Cost]]*Table1[[#This Row],[Order_Quantity]]</f>
        <v>2852</v>
      </c>
      <c r="Q275" s="4">
        <f>Table1[[#This Row],[total sales]]-Table1[[#This Row],[total cost]]</f>
        <v>1628</v>
      </c>
      <c r="R275" s="6" t="s">
        <v>136</v>
      </c>
      <c r="S275" s="6" t="str">
        <f>_xlfn.CONCAT(Table1[[#This Row],[Sub_Category]],"-",Table1[[#This Row],[bike colour]])</f>
        <v>Road Bikes-yellow</v>
      </c>
    </row>
    <row r="276" spans="1:19" x14ac:dyDescent="0.3">
      <c r="A276" s="1">
        <v>44509</v>
      </c>
      <c r="B276">
        <v>9</v>
      </c>
      <c r="C276" t="s">
        <v>98</v>
      </c>
      <c r="D276">
        <v>2021</v>
      </c>
      <c r="E276">
        <v>63</v>
      </c>
      <c r="F276" t="s">
        <v>14</v>
      </c>
      <c r="G276" t="s">
        <v>120</v>
      </c>
      <c r="H276" t="s">
        <v>15</v>
      </c>
      <c r="I276" t="s">
        <v>16</v>
      </c>
      <c r="J276" t="s">
        <v>17</v>
      </c>
      <c r="K276" t="s">
        <v>40</v>
      </c>
      <c r="L276">
        <v>4</v>
      </c>
      <c r="M276" s="6">
        <v>713</v>
      </c>
      <c r="N276" s="6">
        <v>1120</v>
      </c>
      <c r="O276" s="6">
        <f>Table1[[#This Row],[Unit_Price]]*Table1[[#This Row],[Order_Quantity]]</f>
        <v>4480</v>
      </c>
      <c r="P276" s="6">
        <f>Table1[[#This Row],[Unit_Cost]]*Table1[[#This Row],[Order_Quantity]]</f>
        <v>2852</v>
      </c>
      <c r="Q276" s="4">
        <f>Table1[[#This Row],[total sales]]-Table1[[#This Row],[total cost]]</f>
        <v>1628</v>
      </c>
      <c r="R276" s="6" t="s">
        <v>138</v>
      </c>
      <c r="S276" s="6" t="str">
        <f>_xlfn.CONCAT(Table1[[#This Row],[Sub_Category]],"-",Table1[[#This Row],[bike colour]])</f>
        <v>Road Bikes-black</v>
      </c>
    </row>
    <row r="277" spans="1:19" x14ac:dyDescent="0.3">
      <c r="A277" s="1">
        <v>44509</v>
      </c>
      <c r="B277">
        <v>9</v>
      </c>
      <c r="C277" t="s">
        <v>98</v>
      </c>
      <c r="D277">
        <v>2021</v>
      </c>
      <c r="E277">
        <v>25</v>
      </c>
      <c r="F277" t="s">
        <v>19</v>
      </c>
      <c r="G277" t="s">
        <v>122</v>
      </c>
      <c r="H277" t="s">
        <v>27</v>
      </c>
      <c r="I277" t="s">
        <v>45</v>
      </c>
      <c r="J277" t="s">
        <v>17</v>
      </c>
      <c r="K277" t="s">
        <v>65</v>
      </c>
      <c r="L277">
        <v>3</v>
      </c>
      <c r="M277" s="6">
        <v>713</v>
      </c>
      <c r="N277" s="6">
        <v>1120</v>
      </c>
      <c r="O277" s="6">
        <f>Table1[[#This Row],[Unit_Price]]*Table1[[#This Row],[Order_Quantity]]</f>
        <v>3360</v>
      </c>
      <c r="P277" s="6">
        <f>Table1[[#This Row],[Unit_Cost]]*Table1[[#This Row],[Order_Quantity]]</f>
        <v>2139</v>
      </c>
      <c r="Q277" s="4">
        <f>Table1[[#This Row],[total sales]]-Table1[[#This Row],[total cost]]</f>
        <v>1221</v>
      </c>
      <c r="R277" s="6" t="s">
        <v>136</v>
      </c>
      <c r="S277" s="6" t="str">
        <f>_xlfn.CONCAT(Table1[[#This Row],[Sub_Category]],"-",Table1[[#This Row],[bike colour]])</f>
        <v>Road Bikes-yellow</v>
      </c>
    </row>
    <row r="278" spans="1:19" x14ac:dyDescent="0.3">
      <c r="A278" s="1">
        <v>44509</v>
      </c>
      <c r="B278">
        <v>9</v>
      </c>
      <c r="C278" t="s">
        <v>98</v>
      </c>
      <c r="D278">
        <v>2021</v>
      </c>
      <c r="E278">
        <v>41</v>
      </c>
      <c r="F278" t="s">
        <v>14</v>
      </c>
      <c r="G278" t="s">
        <v>120</v>
      </c>
      <c r="H278" t="s">
        <v>42</v>
      </c>
      <c r="I278" t="s">
        <v>43</v>
      </c>
      <c r="J278" t="s">
        <v>25</v>
      </c>
      <c r="K278" t="s">
        <v>56</v>
      </c>
      <c r="L278">
        <v>3</v>
      </c>
      <c r="M278" s="6">
        <v>713</v>
      </c>
      <c r="N278" s="6">
        <v>1120</v>
      </c>
      <c r="O278" s="6">
        <f>Table1[[#This Row],[Unit_Price]]*Table1[[#This Row],[Order_Quantity]]</f>
        <v>3360</v>
      </c>
      <c r="P278" s="6">
        <f>Table1[[#This Row],[Unit_Cost]]*Table1[[#This Row],[Order_Quantity]]</f>
        <v>2139</v>
      </c>
      <c r="Q278" s="4">
        <f>Table1[[#This Row],[total sales]]-Table1[[#This Row],[total cost]]</f>
        <v>1221</v>
      </c>
      <c r="R278" s="6" t="s">
        <v>139</v>
      </c>
      <c r="S278" s="6" t="str">
        <f>_xlfn.CONCAT(Table1[[#This Row],[Sub_Category]],"-",Table1[[#This Row],[bike colour]])</f>
        <v>Mountain Bikes-silver</v>
      </c>
    </row>
    <row r="279" spans="1:19" x14ac:dyDescent="0.3">
      <c r="A279" s="1">
        <v>44510</v>
      </c>
      <c r="B279">
        <v>10</v>
      </c>
      <c r="C279" t="s">
        <v>98</v>
      </c>
      <c r="D279">
        <v>2021</v>
      </c>
      <c r="E279">
        <v>39</v>
      </c>
      <c r="F279" t="s">
        <v>14</v>
      </c>
      <c r="G279" t="s">
        <v>120</v>
      </c>
      <c r="H279" t="s">
        <v>23</v>
      </c>
      <c r="I279" t="s">
        <v>24</v>
      </c>
      <c r="J279" t="s">
        <v>17</v>
      </c>
      <c r="K279" t="s">
        <v>41</v>
      </c>
      <c r="L279">
        <v>3</v>
      </c>
      <c r="M279" s="6">
        <v>713</v>
      </c>
      <c r="N279" s="6">
        <v>1120</v>
      </c>
      <c r="O279" s="6">
        <f>Table1[[#This Row],[Unit_Price]]*Table1[[#This Row],[Order_Quantity]]</f>
        <v>3360</v>
      </c>
      <c r="P279" s="6">
        <f>Table1[[#This Row],[Unit_Cost]]*Table1[[#This Row],[Order_Quantity]]</f>
        <v>2139</v>
      </c>
      <c r="Q279" s="4">
        <f>Table1[[#This Row],[total sales]]-Table1[[#This Row],[total cost]]</f>
        <v>1221</v>
      </c>
      <c r="R279" s="6" t="s">
        <v>138</v>
      </c>
      <c r="S279" s="6" t="str">
        <f>_xlfn.CONCAT(Table1[[#This Row],[Sub_Category]],"-",Table1[[#This Row],[bike colour]])</f>
        <v>Road Bikes-black</v>
      </c>
    </row>
    <row r="280" spans="1:19" x14ac:dyDescent="0.3">
      <c r="A280" s="1">
        <v>44510</v>
      </c>
      <c r="B280">
        <v>10</v>
      </c>
      <c r="C280" t="s">
        <v>98</v>
      </c>
      <c r="D280">
        <v>2021</v>
      </c>
      <c r="E280">
        <v>52</v>
      </c>
      <c r="F280" t="s">
        <v>14</v>
      </c>
      <c r="G280" t="s">
        <v>122</v>
      </c>
      <c r="H280" t="s">
        <v>23</v>
      </c>
      <c r="I280" t="s">
        <v>24</v>
      </c>
      <c r="J280" t="s">
        <v>25</v>
      </c>
      <c r="K280" t="s">
        <v>34</v>
      </c>
      <c r="L280">
        <v>3</v>
      </c>
      <c r="M280" s="6">
        <v>713</v>
      </c>
      <c r="N280" s="6">
        <v>1120</v>
      </c>
      <c r="O280" s="6">
        <f>Table1[[#This Row],[Unit_Price]]*Table1[[#This Row],[Order_Quantity]]</f>
        <v>3360</v>
      </c>
      <c r="P280" s="6">
        <f>Table1[[#This Row],[Unit_Cost]]*Table1[[#This Row],[Order_Quantity]]</f>
        <v>2139</v>
      </c>
      <c r="Q280" s="4">
        <f>Table1[[#This Row],[total sales]]-Table1[[#This Row],[total cost]]</f>
        <v>1221</v>
      </c>
      <c r="R280" s="6" t="s">
        <v>138</v>
      </c>
      <c r="S280" s="6" t="str">
        <f>_xlfn.CONCAT(Table1[[#This Row],[Sub_Category]],"-",Table1[[#This Row],[bike colour]])</f>
        <v>Mountain Bikes-black</v>
      </c>
    </row>
    <row r="281" spans="1:19" x14ac:dyDescent="0.3">
      <c r="A281" s="1">
        <v>44510</v>
      </c>
      <c r="B281">
        <v>10</v>
      </c>
      <c r="C281" t="s">
        <v>98</v>
      </c>
      <c r="D281">
        <v>2021</v>
      </c>
      <c r="E281">
        <v>20</v>
      </c>
      <c r="F281" t="s">
        <v>49</v>
      </c>
      <c r="G281" t="s">
        <v>122</v>
      </c>
      <c r="H281" t="s">
        <v>27</v>
      </c>
      <c r="I281" t="s">
        <v>45</v>
      </c>
      <c r="J281" t="s">
        <v>17</v>
      </c>
      <c r="K281" t="s">
        <v>80</v>
      </c>
      <c r="L281">
        <v>1</v>
      </c>
      <c r="M281" s="6">
        <v>713</v>
      </c>
      <c r="N281" s="6">
        <v>1120</v>
      </c>
      <c r="O281" s="6">
        <f>Table1[[#This Row],[Unit_Price]]*Table1[[#This Row],[Order_Quantity]]</f>
        <v>1120</v>
      </c>
      <c r="P281" s="6">
        <f>Table1[[#This Row],[Unit_Cost]]*Table1[[#This Row],[Order_Quantity]]</f>
        <v>713</v>
      </c>
      <c r="Q281" s="4">
        <f>Table1[[#This Row],[total sales]]-Table1[[#This Row],[total cost]]</f>
        <v>407</v>
      </c>
      <c r="R281" s="6" t="s">
        <v>138</v>
      </c>
      <c r="S281" s="6" t="str">
        <f>_xlfn.CONCAT(Table1[[#This Row],[Sub_Category]],"-",Table1[[#This Row],[bike colour]])</f>
        <v>Road Bikes-black</v>
      </c>
    </row>
    <row r="282" spans="1:19" x14ac:dyDescent="0.3">
      <c r="A282" s="1">
        <v>44510</v>
      </c>
      <c r="B282">
        <v>10</v>
      </c>
      <c r="C282" t="s">
        <v>98</v>
      </c>
      <c r="D282">
        <v>2021</v>
      </c>
      <c r="E282">
        <v>21</v>
      </c>
      <c r="F282" t="s">
        <v>49</v>
      </c>
      <c r="G282" t="s">
        <v>122</v>
      </c>
      <c r="H282" t="s">
        <v>27</v>
      </c>
      <c r="I282" t="s">
        <v>33</v>
      </c>
      <c r="J282" t="s">
        <v>17</v>
      </c>
      <c r="K282" t="s">
        <v>52</v>
      </c>
      <c r="L282">
        <v>1</v>
      </c>
      <c r="M282" s="6">
        <v>713</v>
      </c>
      <c r="N282" s="6">
        <v>1120</v>
      </c>
      <c r="O282" s="6">
        <f>Table1[[#This Row],[Unit_Price]]*Table1[[#This Row],[Order_Quantity]]</f>
        <v>1120</v>
      </c>
      <c r="P282" s="6">
        <f>Table1[[#This Row],[Unit_Cost]]*Table1[[#This Row],[Order_Quantity]]</f>
        <v>713</v>
      </c>
      <c r="Q282" s="4">
        <f>Table1[[#This Row],[total sales]]-Table1[[#This Row],[total cost]]</f>
        <v>407</v>
      </c>
      <c r="R282" s="6" t="s">
        <v>138</v>
      </c>
      <c r="S282" s="6" t="str">
        <f>_xlfn.CONCAT(Table1[[#This Row],[Sub_Category]],"-",Table1[[#This Row],[bike colour]])</f>
        <v>Road Bikes-black</v>
      </c>
    </row>
    <row r="283" spans="1:19" x14ac:dyDescent="0.3">
      <c r="A283" s="1">
        <v>44510</v>
      </c>
      <c r="B283">
        <v>10</v>
      </c>
      <c r="C283" t="s">
        <v>98</v>
      </c>
      <c r="D283">
        <v>2021</v>
      </c>
      <c r="E283">
        <v>25</v>
      </c>
      <c r="F283" t="s">
        <v>19</v>
      </c>
      <c r="G283" t="s">
        <v>120</v>
      </c>
      <c r="H283" t="s">
        <v>42</v>
      </c>
      <c r="I283" t="s">
        <v>43</v>
      </c>
      <c r="J283" t="s">
        <v>17</v>
      </c>
      <c r="K283" t="s">
        <v>52</v>
      </c>
      <c r="L283">
        <v>1</v>
      </c>
      <c r="M283" s="6">
        <v>713</v>
      </c>
      <c r="N283" s="6">
        <v>1120</v>
      </c>
      <c r="O283" s="6">
        <f>Table1[[#This Row],[Unit_Price]]*Table1[[#This Row],[Order_Quantity]]</f>
        <v>1120</v>
      </c>
      <c r="P283" s="6">
        <f>Table1[[#This Row],[Unit_Cost]]*Table1[[#This Row],[Order_Quantity]]</f>
        <v>713</v>
      </c>
      <c r="Q283" s="4">
        <f>Table1[[#This Row],[total sales]]-Table1[[#This Row],[total cost]]</f>
        <v>407</v>
      </c>
      <c r="R283" s="6" t="s">
        <v>138</v>
      </c>
      <c r="S283" s="6" t="str">
        <f>_xlfn.CONCAT(Table1[[#This Row],[Sub_Category]],"-",Table1[[#This Row],[bike colour]])</f>
        <v>Road Bikes-black</v>
      </c>
    </row>
    <row r="284" spans="1:19" x14ac:dyDescent="0.3">
      <c r="A284" s="1">
        <v>44510</v>
      </c>
      <c r="B284">
        <v>10</v>
      </c>
      <c r="C284" t="s">
        <v>98</v>
      </c>
      <c r="D284">
        <v>2021</v>
      </c>
      <c r="E284">
        <v>34</v>
      </c>
      <c r="F284" t="s">
        <v>19</v>
      </c>
      <c r="G284" t="s">
        <v>122</v>
      </c>
      <c r="H284" t="s">
        <v>42</v>
      </c>
      <c r="I284" t="s">
        <v>58</v>
      </c>
      <c r="J284" t="s">
        <v>25</v>
      </c>
      <c r="K284" t="s">
        <v>97</v>
      </c>
      <c r="L284">
        <v>1</v>
      </c>
      <c r="M284" s="6">
        <v>713</v>
      </c>
      <c r="N284" s="6">
        <v>1120</v>
      </c>
      <c r="O284" s="6">
        <f>Table1[[#This Row],[Unit_Price]]*Table1[[#This Row],[Order_Quantity]]</f>
        <v>1120</v>
      </c>
      <c r="P284" s="6">
        <f>Table1[[#This Row],[Unit_Cost]]*Table1[[#This Row],[Order_Quantity]]</f>
        <v>713</v>
      </c>
      <c r="Q284" s="4">
        <f>Table1[[#This Row],[total sales]]-Table1[[#This Row],[total cost]]</f>
        <v>407</v>
      </c>
      <c r="R284" s="6" t="s">
        <v>139</v>
      </c>
      <c r="S284" s="6" t="str">
        <f>_xlfn.CONCAT(Table1[[#This Row],[Sub_Category]],"-",Table1[[#This Row],[bike colour]])</f>
        <v>Mountain Bikes-silver</v>
      </c>
    </row>
    <row r="285" spans="1:19" x14ac:dyDescent="0.3">
      <c r="A285" s="1">
        <v>44510</v>
      </c>
      <c r="B285">
        <v>10</v>
      </c>
      <c r="C285" t="s">
        <v>98</v>
      </c>
      <c r="D285">
        <v>2021</v>
      </c>
      <c r="E285">
        <v>50</v>
      </c>
      <c r="F285" t="s">
        <v>14</v>
      </c>
      <c r="G285" t="s">
        <v>120</v>
      </c>
      <c r="H285" t="s">
        <v>15</v>
      </c>
      <c r="I285" t="s">
        <v>47</v>
      </c>
      <c r="J285" t="s">
        <v>25</v>
      </c>
      <c r="K285" t="s">
        <v>61</v>
      </c>
      <c r="L285">
        <v>1</v>
      </c>
      <c r="M285" s="6">
        <v>713</v>
      </c>
      <c r="N285" s="6">
        <v>1120</v>
      </c>
      <c r="O285" s="6">
        <f>Table1[[#This Row],[Unit_Price]]*Table1[[#This Row],[Order_Quantity]]</f>
        <v>1120</v>
      </c>
      <c r="P285" s="6">
        <f>Table1[[#This Row],[Unit_Cost]]*Table1[[#This Row],[Order_Quantity]]</f>
        <v>713</v>
      </c>
      <c r="Q285" s="4">
        <f>Table1[[#This Row],[total sales]]-Table1[[#This Row],[total cost]]</f>
        <v>407</v>
      </c>
      <c r="R285" s="6" t="s">
        <v>138</v>
      </c>
      <c r="S285" s="6" t="str">
        <f>_xlfn.CONCAT(Table1[[#This Row],[Sub_Category]],"-",Table1[[#This Row],[bike colour]])</f>
        <v>Mountain Bikes-black</v>
      </c>
    </row>
    <row r="286" spans="1:19" x14ac:dyDescent="0.3">
      <c r="A286" s="1">
        <v>44511</v>
      </c>
      <c r="B286">
        <v>11</v>
      </c>
      <c r="C286" t="s">
        <v>98</v>
      </c>
      <c r="D286">
        <v>2021</v>
      </c>
      <c r="E286">
        <v>17</v>
      </c>
      <c r="F286" t="s">
        <v>49</v>
      </c>
      <c r="G286" t="s">
        <v>122</v>
      </c>
      <c r="H286" t="s">
        <v>27</v>
      </c>
      <c r="I286" t="s">
        <v>28</v>
      </c>
      <c r="J286" t="s">
        <v>17</v>
      </c>
      <c r="K286" t="s">
        <v>102</v>
      </c>
      <c r="L286">
        <v>4</v>
      </c>
      <c r="M286" s="6">
        <v>713</v>
      </c>
      <c r="N286" s="6">
        <v>1120</v>
      </c>
      <c r="O286" s="6">
        <f>Table1[[#This Row],[Unit_Price]]*Table1[[#This Row],[Order_Quantity]]</f>
        <v>4480</v>
      </c>
      <c r="P286" s="6">
        <f>Table1[[#This Row],[Unit_Cost]]*Table1[[#This Row],[Order_Quantity]]</f>
        <v>2852</v>
      </c>
      <c r="Q286" s="4">
        <f>Table1[[#This Row],[total sales]]-Table1[[#This Row],[total cost]]</f>
        <v>1628</v>
      </c>
      <c r="R286" s="6" t="s">
        <v>137</v>
      </c>
      <c r="S286" s="6" t="str">
        <f>_xlfn.CONCAT(Table1[[#This Row],[Sub_Category]],"-",Table1[[#This Row],[bike colour]])</f>
        <v>Road Bikes-red</v>
      </c>
    </row>
    <row r="287" spans="1:19" x14ac:dyDescent="0.3">
      <c r="A287" s="1">
        <v>44511</v>
      </c>
      <c r="B287">
        <v>11</v>
      </c>
      <c r="C287" t="s">
        <v>98</v>
      </c>
      <c r="D287">
        <v>2021</v>
      </c>
      <c r="E287">
        <v>34</v>
      </c>
      <c r="F287" t="s">
        <v>19</v>
      </c>
      <c r="G287" t="s">
        <v>120</v>
      </c>
      <c r="H287" t="s">
        <v>42</v>
      </c>
      <c r="I287" t="s">
        <v>43</v>
      </c>
      <c r="J287" t="s">
        <v>17</v>
      </c>
      <c r="K287" t="s">
        <v>29</v>
      </c>
      <c r="L287">
        <v>4</v>
      </c>
      <c r="M287" s="6">
        <v>713</v>
      </c>
      <c r="N287" s="6">
        <v>1120</v>
      </c>
      <c r="O287" s="6">
        <f>Table1[[#This Row],[Unit_Price]]*Table1[[#This Row],[Order_Quantity]]</f>
        <v>4480</v>
      </c>
      <c r="P287" s="6">
        <f>Table1[[#This Row],[Unit_Cost]]*Table1[[#This Row],[Order_Quantity]]</f>
        <v>2852</v>
      </c>
      <c r="Q287" s="4">
        <f>Table1[[#This Row],[total sales]]-Table1[[#This Row],[total cost]]</f>
        <v>1628</v>
      </c>
      <c r="R287" s="6" t="s">
        <v>136</v>
      </c>
      <c r="S287" s="6" t="str">
        <f>_xlfn.CONCAT(Table1[[#This Row],[Sub_Category]],"-",Table1[[#This Row],[bike colour]])</f>
        <v>Road Bikes-yellow</v>
      </c>
    </row>
    <row r="288" spans="1:19" x14ac:dyDescent="0.3">
      <c r="A288" s="1">
        <v>44511</v>
      </c>
      <c r="B288">
        <v>11</v>
      </c>
      <c r="C288" t="s">
        <v>98</v>
      </c>
      <c r="D288">
        <v>2021</v>
      </c>
      <c r="E288">
        <v>18</v>
      </c>
      <c r="F288" t="s">
        <v>49</v>
      </c>
      <c r="G288" t="s">
        <v>122</v>
      </c>
      <c r="H288" t="s">
        <v>27</v>
      </c>
      <c r="I288" t="s">
        <v>45</v>
      </c>
      <c r="J288" t="s">
        <v>17</v>
      </c>
      <c r="K288" t="s">
        <v>55</v>
      </c>
      <c r="L288">
        <v>3</v>
      </c>
      <c r="M288" s="6">
        <v>713</v>
      </c>
      <c r="N288" s="6">
        <v>1120</v>
      </c>
      <c r="O288" s="6">
        <f>Table1[[#This Row],[Unit_Price]]*Table1[[#This Row],[Order_Quantity]]</f>
        <v>3360</v>
      </c>
      <c r="P288" s="6">
        <f>Table1[[#This Row],[Unit_Cost]]*Table1[[#This Row],[Order_Quantity]]</f>
        <v>2139</v>
      </c>
      <c r="Q288" s="4">
        <f>Table1[[#This Row],[total sales]]-Table1[[#This Row],[total cost]]</f>
        <v>1221</v>
      </c>
      <c r="R288" s="6" t="s">
        <v>138</v>
      </c>
      <c r="S288" s="6" t="str">
        <f>_xlfn.CONCAT(Table1[[#This Row],[Sub_Category]],"-",Table1[[#This Row],[bike colour]])</f>
        <v>Road Bikes-black</v>
      </c>
    </row>
    <row r="289" spans="1:19" x14ac:dyDescent="0.3">
      <c r="A289" s="1">
        <v>44511</v>
      </c>
      <c r="B289">
        <v>11</v>
      </c>
      <c r="C289" t="s">
        <v>98</v>
      </c>
      <c r="D289">
        <v>2021</v>
      </c>
      <c r="E289">
        <v>22</v>
      </c>
      <c r="F289" t="s">
        <v>49</v>
      </c>
      <c r="G289" t="s">
        <v>122</v>
      </c>
      <c r="H289" t="s">
        <v>27</v>
      </c>
      <c r="I289" t="s">
        <v>33</v>
      </c>
      <c r="J289" t="s">
        <v>17</v>
      </c>
      <c r="K289" t="s">
        <v>54</v>
      </c>
      <c r="L289">
        <v>3</v>
      </c>
      <c r="M289" s="6">
        <v>713</v>
      </c>
      <c r="N289" s="6">
        <v>1120</v>
      </c>
      <c r="O289" s="6">
        <f>Table1[[#This Row],[Unit_Price]]*Table1[[#This Row],[Order_Quantity]]</f>
        <v>3360</v>
      </c>
      <c r="P289" s="6">
        <f>Table1[[#This Row],[Unit_Cost]]*Table1[[#This Row],[Order_Quantity]]</f>
        <v>2139</v>
      </c>
      <c r="Q289" s="4">
        <f>Table1[[#This Row],[total sales]]-Table1[[#This Row],[total cost]]</f>
        <v>1221</v>
      </c>
      <c r="R289" s="6" t="s">
        <v>137</v>
      </c>
      <c r="S289" s="6" t="str">
        <f>_xlfn.CONCAT(Table1[[#This Row],[Sub_Category]],"-",Table1[[#This Row],[bike colour]])</f>
        <v>Road Bikes-red</v>
      </c>
    </row>
    <row r="290" spans="1:19" x14ac:dyDescent="0.3">
      <c r="A290" s="1">
        <v>44511</v>
      </c>
      <c r="B290">
        <v>11</v>
      </c>
      <c r="C290" t="s">
        <v>98</v>
      </c>
      <c r="D290">
        <v>2021</v>
      </c>
      <c r="E290">
        <v>30</v>
      </c>
      <c r="F290" t="s">
        <v>19</v>
      </c>
      <c r="G290" t="s">
        <v>120</v>
      </c>
      <c r="H290" t="s">
        <v>15</v>
      </c>
      <c r="I290" t="s">
        <v>16</v>
      </c>
      <c r="J290" t="s">
        <v>25</v>
      </c>
      <c r="K290" t="s">
        <v>60</v>
      </c>
      <c r="L290">
        <v>3</v>
      </c>
      <c r="M290" s="6">
        <v>713</v>
      </c>
      <c r="N290" s="6">
        <v>1120</v>
      </c>
      <c r="O290" s="6">
        <f>Table1[[#This Row],[Unit_Price]]*Table1[[#This Row],[Order_Quantity]]</f>
        <v>3360</v>
      </c>
      <c r="P290" s="6">
        <f>Table1[[#This Row],[Unit_Cost]]*Table1[[#This Row],[Order_Quantity]]</f>
        <v>2139</v>
      </c>
      <c r="Q290" s="4">
        <f>Table1[[#This Row],[total sales]]-Table1[[#This Row],[total cost]]</f>
        <v>1221</v>
      </c>
      <c r="R290" s="6" t="s">
        <v>138</v>
      </c>
      <c r="S290" s="6" t="str">
        <f>_xlfn.CONCAT(Table1[[#This Row],[Sub_Category]],"-",Table1[[#This Row],[bike colour]])</f>
        <v>Mountain Bikes-black</v>
      </c>
    </row>
    <row r="291" spans="1:19" x14ac:dyDescent="0.3">
      <c r="A291" s="1">
        <v>44511</v>
      </c>
      <c r="B291">
        <v>11</v>
      </c>
      <c r="C291" t="s">
        <v>98</v>
      </c>
      <c r="D291">
        <v>2021</v>
      </c>
      <c r="E291">
        <v>39</v>
      </c>
      <c r="F291" t="s">
        <v>14</v>
      </c>
      <c r="G291" t="s">
        <v>122</v>
      </c>
      <c r="H291" t="s">
        <v>50</v>
      </c>
      <c r="I291" t="s">
        <v>94</v>
      </c>
      <c r="J291" t="s">
        <v>17</v>
      </c>
      <c r="K291" t="s">
        <v>18</v>
      </c>
      <c r="L291">
        <v>3</v>
      </c>
      <c r="M291" s="6">
        <v>713</v>
      </c>
      <c r="N291" s="6">
        <v>1120</v>
      </c>
      <c r="O291" s="6">
        <f>Table1[[#This Row],[Unit_Price]]*Table1[[#This Row],[Order_Quantity]]</f>
        <v>3360</v>
      </c>
      <c r="P291" s="6">
        <f>Table1[[#This Row],[Unit_Cost]]*Table1[[#This Row],[Order_Quantity]]</f>
        <v>2139</v>
      </c>
      <c r="Q291" s="4">
        <f>Table1[[#This Row],[total sales]]-Table1[[#This Row],[total cost]]</f>
        <v>1221</v>
      </c>
      <c r="R291" s="6" t="s">
        <v>136</v>
      </c>
      <c r="S291" s="6" t="str">
        <f>_xlfn.CONCAT(Table1[[#This Row],[Sub_Category]],"-",Table1[[#This Row],[bike colour]])</f>
        <v>Road Bikes-yellow</v>
      </c>
    </row>
    <row r="292" spans="1:19" x14ac:dyDescent="0.3">
      <c r="A292" s="1">
        <v>44511</v>
      </c>
      <c r="B292">
        <v>11</v>
      </c>
      <c r="C292" t="s">
        <v>98</v>
      </c>
      <c r="D292">
        <v>2021</v>
      </c>
      <c r="E292">
        <v>22</v>
      </c>
      <c r="F292" t="s">
        <v>49</v>
      </c>
      <c r="G292" t="s">
        <v>120</v>
      </c>
      <c r="H292" t="s">
        <v>15</v>
      </c>
      <c r="I292" t="s">
        <v>16</v>
      </c>
      <c r="J292" t="s">
        <v>25</v>
      </c>
      <c r="K292" t="s">
        <v>62</v>
      </c>
      <c r="L292">
        <v>2</v>
      </c>
      <c r="M292" s="6">
        <v>713</v>
      </c>
      <c r="N292" s="6">
        <v>1120</v>
      </c>
      <c r="O292" s="6">
        <f>Table1[[#This Row],[Unit_Price]]*Table1[[#This Row],[Order_Quantity]]</f>
        <v>2240</v>
      </c>
      <c r="P292" s="6">
        <f>Table1[[#This Row],[Unit_Cost]]*Table1[[#This Row],[Order_Quantity]]</f>
        <v>1426</v>
      </c>
      <c r="Q292" s="4">
        <f>Table1[[#This Row],[total sales]]-Table1[[#This Row],[total cost]]</f>
        <v>814</v>
      </c>
      <c r="R292" s="6" t="s">
        <v>139</v>
      </c>
      <c r="S292" s="6" t="str">
        <f>_xlfn.CONCAT(Table1[[#This Row],[Sub_Category]],"-",Table1[[#This Row],[bike colour]])</f>
        <v>Mountain Bikes-silver</v>
      </c>
    </row>
    <row r="293" spans="1:19" x14ac:dyDescent="0.3">
      <c r="A293" s="1">
        <v>44511</v>
      </c>
      <c r="B293">
        <v>11</v>
      </c>
      <c r="C293" t="s">
        <v>98</v>
      </c>
      <c r="D293">
        <v>2021</v>
      </c>
      <c r="E293">
        <v>18</v>
      </c>
      <c r="F293" t="s">
        <v>49</v>
      </c>
      <c r="G293" t="s">
        <v>120</v>
      </c>
      <c r="H293" t="s">
        <v>27</v>
      </c>
      <c r="I293" t="s">
        <v>33</v>
      </c>
      <c r="J293" t="s">
        <v>17</v>
      </c>
      <c r="K293" t="s">
        <v>73</v>
      </c>
      <c r="L293">
        <v>1</v>
      </c>
      <c r="M293" s="6">
        <v>713</v>
      </c>
      <c r="N293" s="6">
        <v>1120</v>
      </c>
      <c r="O293" s="6">
        <f>Table1[[#This Row],[Unit_Price]]*Table1[[#This Row],[Order_Quantity]]</f>
        <v>1120</v>
      </c>
      <c r="P293" s="6">
        <f>Table1[[#This Row],[Unit_Cost]]*Table1[[#This Row],[Order_Quantity]]</f>
        <v>713</v>
      </c>
      <c r="Q293" s="4">
        <f>Table1[[#This Row],[total sales]]-Table1[[#This Row],[total cost]]</f>
        <v>407</v>
      </c>
      <c r="R293" s="6" t="s">
        <v>138</v>
      </c>
      <c r="S293" s="6" t="str">
        <f>_xlfn.CONCAT(Table1[[#This Row],[Sub_Category]],"-",Table1[[#This Row],[bike colour]])</f>
        <v>Road Bikes-black</v>
      </c>
    </row>
    <row r="294" spans="1:19" x14ac:dyDescent="0.3">
      <c r="A294" s="1">
        <v>44511</v>
      </c>
      <c r="B294">
        <v>11</v>
      </c>
      <c r="C294" t="s">
        <v>98</v>
      </c>
      <c r="D294">
        <v>2021</v>
      </c>
      <c r="E294">
        <v>22</v>
      </c>
      <c r="F294" t="s">
        <v>49</v>
      </c>
      <c r="G294" t="s">
        <v>120</v>
      </c>
      <c r="H294" t="s">
        <v>42</v>
      </c>
      <c r="I294" t="s">
        <v>68</v>
      </c>
      <c r="J294" t="s">
        <v>25</v>
      </c>
      <c r="K294" t="s">
        <v>26</v>
      </c>
      <c r="L294">
        <v>1</v>
      </c>
      <c r="M294" s="6">
        <v>713</v>
      </c>
      <c r="N294" s="6">
        <v>1120</v>
      </c>
      <c r="O294" s="6">
        <f>Table1[[#This Row],[Unit_Price]]*Table1[[#This Row],[Order_Quantity]]</f>
        <v>1120</v>
      </c>
      <c r="P294" s="6">
        <f>Table1[[#This Row],[Unit_Cost]]*Table1[[#This Row],[Order_Quantity]]</f>
        <v>713</v>
      </c>
      <c r="Q294" s="4">
        <f>Table1[[#This Row],[total sales]]-Table1[[#This Row],[total cost]]</f>
        <v>407</v>
      </c>
      <c r="R294" s="6" t="s">
        <v>138</v>
      </c>
      <c r="S294" s="6" t="str">
        <f>_xlfn.CONCAT(Table1[[#This Row],[Sub_Category]],"-",Table1[[#This Row],[bike colour]])</f>
        <v>Mountain Bikes-black</v>
      </c>
    </row>
    <row r="295" spans="1:19" x14ac:dyDescent="0.3">
      <c r="A295" s="1">
        <v>44511</v>
      </c>
      <c r="B295">
        <v>11</v>
      </c>
      <c r="C295" t="s">
        <v>98</v>
      </c>
      <c r="D295">
        <v>2021</v>
      </c>
      <c r="E295">
        <v>24</v>
      </c>
      <c r="F295" t="s">
        <v>49</v>
      </c>
      <c r="G295" t="s">
        <v>120</v>
      </c>
      <c r="H295" t="s">
        <v>27</v>
      </c>
      <c r="I295" t="s">
        <v>28</v>
      </c>
      <c r="J295" t="s">
        <v>17</v>
      </c>
      <c r="K295" t="s">
        <v>81</v>
      </c>
      <c r="L295">
        <v>1</v>
      </c>
      <c r="M295" s="6">
        <v>713</v>
      </c>
      <c r="N295" s="6">
        <v>1120</v>
      </c>
      <c r="O295" s="6">
        <f>Table1[[#This Row],[Unit_Price]]*Table1[[#This Row],[Order_Quantity]]</f>
        <v>1120</v>
      </c>
      <c r="P295" s="6">
        <f>Table1[[#This Row],[Unit_Cost]]*Table1[[#This Row],[Order_Quantity]]</f>
        <v>713</v>
      </c>
      <c r="Q295" s="4">
        <f>Table1[[#This Row],[total sales]]-Table1[[#This Row],[total cost]]</f>
        <v>407</v>
      </c>
      <c r="R295" s="6" t="s">
        <v>136</v>
      </c>
      <c r="S295" s="6" t="str">
        <f>_xlfn.CONCAT(Table1[[#This Row],[Sub_Category]],"-",Table1[[#This Row],[bike colour]])</f>
        <v>Road Bikes-yellow</v>
      </c>
    </row>
    <row r="296" spans="1:19" x14ac:dyDescent="0.3">
      <c r="A296" s="1">
        <v>44511</v>
      </c>
      <c r="B296">
        <v>11</v>
      </c>
      <c r="C296" t="s">
        <v>98</v>
      </c>
      <c r="D296">
        <v>2021</v>
      </c>
      <c r="E296">
        <v>39</v>
      </c>
      <c r="F296" t="s">
        <v>14</v>
      </c>
      <c r="G296" t="s">
        <v>122</v>
      </c>
      <c r="H296" t="s">
        <v>23</v>
      </c>
      <c r="I296" t="s">
        <v>24</v>
      </c>
      <c r="J296" t="s">
        <v>17</v>
      </c>
      <c r="K296" t="s">
        <v>79</v>
      </c>
      <c r="L296">
        <v>1</v>
      </c>
      <c r="M296" s="6">
        <v>713</v>
      </c>
      <c r="N296" s="6">
        <v>1120</v>
      </c>
      <c r="O296" s="6">
        <f>Table1[[#This Row],[Unit_Price]]*Table1[[#This Row],[Order_Quantity]]</f>
        <v>1120</v>
      </c>
      <c r="P296" s="6">
        <f>Table1[[#This Row],[Unit_Cost]]*Table1[[#This Row],[Order_Quantity]]</f>
        <v>713</v>
      </c>
      <c r="Q296" s="4">
        <f>Table1[[#This Row],[total sales]]-Table1[[#This Row],[total cost]]</f>
        <v>407</v>
      </c>
      <c r="R296" s="6" t="s">
        <v>137</v>
      </c>
      <c r="S296" s="6" t="str">
        <f>_xlfn.CONCAT(Table1[[#This Row],[Sub_Category]],"-",Table1[[#This Row],[bike colour]])</f>
        <v>Road Bikes-red</v>
      </c>
    </row>
    <row r="297" spans="1:19" x14ac:dyDescent="0.3">
      <c r="A297" s="1">
        <v>44512</v>
      </c>
      <c r="B297">
        <v>12</v>
      </c>
      <c r="C297" t="s">
        <v>98</v>
      </c>
      <c r="D297">
        <v>2021</v>
      </c>
      <c r="E297">
        <v>24</v>
      </c>
      <c r="F297" t="s">
        <v>49</v>
      </c>
      <c r="G297" t="s">
        <v>120</v>
      </c>
      <c r="H297" t="s">
        <v>27</v>
      </c>
      <c r="I297" t="s">
        <v>33</v>
      </c>
      <c r="J297" t="s">
        <v>17</v>
      </c>
      <c r="K297" t="s">
        <v>57</v>
      </c>
      <c r="L297">
        <v>4</v>
      </c>
      <c r="M297" s="6">
        <v>713</v>
      </c>
      <c r="N297" s="6">
        <v>1120</v>
      </c>
      <c r="O297" s="6">
        <f>Table1[[#This Row],[Unit_Price]]*Table1[[#This Row],[Order_Quantity]]</f>
        <v>4480</v>
      </c>
      <c r="P297" s="6">
        <f>Table1[[#This Row],[Unit_Cost]]*Table1[[#This Row],[Order_Quantity]]</f>
        <v>2852</v>
      </c>
      <c r="Q297" s="4">
        <f>Table1[[#This Row],[total sales]]-Table1[[#This Row],[total cost]]</f>
        <v>1628</v>
      </c>
      <c r="R297" s="6" t="s">
        <v>138</v>
      </c>
      <c r="S297" s="6" t="str">
        <f>_xlfn.CONCAT(Table1[[#This Row],[Sub_Category]],"-",Table1[[#This Row],[bike colour]])</f>
        <v>Road Bikes-black</v>
      </c>
    </row>
    <row r="298" spans="1:19" x14ac:dyDescent="0.3">
      <c r="A298" s="1">
        <v>44512</v>
      </c>
      <c r="B298">
        <v>12</v>
      </c>
      <c r="C298" t="s">
        <v>98</v>
      </c>
      <c r="D298">
        <v>2021</v>
      </c>
      <c r="E298">
        <v>24</v>
      </c>
      <c r="F298" t="s">
        <v>49</v>
      </c>
      <c r="G298" t="s">
        <v>120</v>
      </c>
      <c r="H298" t="s">
        <v>27</v>
      </c>
      <c r="I298" t="s">
        <v>28</v>
      </c>
      <c r="J298" t="s">
        <v>17</v>
      </c>
      <c r="K298" t="s">
        <v>81</v>
      </c>
      <c r="L298">
        <v>4</v>
      </c>
      <c r="M298" s="6">
        <v>713</v>
      </c>
      <c r="N298" s="6">
        <v>1120</v>
      </c>
      <c r="O298" s="6">
        <f>Table1[[#This Row],[Unit_Price]]*Table1[[#This Row],[Order_Quantity]]</f>
        <v>4480</v>
      </c>
      <c r="P298" s="6">
        <f>Table1[[#This Row],[Unit_Cost]]*Table1[[#This Row],[Order_Quantity]]</f>
        <v>2852</v>
      </c>
      <c r="Q298" s="4">
        <f>Table1[[#This Row],[total sales]]-Table1[[#This Row],[total cost]]</f>
        <v>1628</v>
      </c>
      <c r="R298" s="6" t="s">
        <v>136</v>
      </c>
      <c r="S298" s="6" t="str">
        <f>_xlfn.CONCAT(Table1[[#This Row],[Sub_Category]],"-",Table1[[#This Row],[bike colour]])</f>
        <v>Road Bikes-yellow</v>
      </c>
    </row>
    <row r="299" spans="1:19" x14ac:dyDescent="0.3">
      <c r="A299" s="1">
        <v>44512</v>
      </c>
      <c r="B299">
        <v>12</v>
      </c>
      <c r="C299" t="s">
        <v>98</v>
      </c>
      <c r="D299">
        <v>2021</v>
      </c>
      <c r="E299">
        <v>22</v>
      </c>
      <c r="F299" t="s">
        <v>49</v>
      </c>
      <c r="G299" t="s">
        <v>122</v>
      </c>
      <c r="H299" t="s">
        <v>50</v>
      </c>
      <c r="I299" t="s">
        <v>53</v>
      </c>
      <c r="J299" t="s">
        <v>17</v>
      </c>
      <c r="K299" t="s">
        <v>64</v>
      </c>
      <c r="L299">
        <v>2</v>
      </c>
      <c r="M299" s="6">
        <v>713</v>
      </c>
      <c r="N299" s="6">
        <v>1120</v>
      </c>
      <c r="O299" s="6">
        <f>Table1[[#This Row],[Unit_Price]]*Table1[[#This Row],[Order_Quantity]]</f>
        <v>2240</v>
      </c>
      <c r="P299" s="6">
        <f>Table1[[#This Row],[Unit_Cost]]*Table1[[#This Row],[Order_Quantity]]</f>
        <v>1426</v>
      </c>
      <c r="Q299" s="4">
        <f>Table1[[#This Row],[total sales]]-Table1[[#This Row],[total cost]]</f>
        <v>814</v>
      </c>
      <c r="R299" s="6" t="s">
        <v>136</v>
      </c>
      <c r="S299" s="6" t="str">
        <f>_xlfn.CONCAT(Table1[[#This Row],[Sub_Category]],"-",Table1[[#This Row],[bike colour]])</f>
        <v>Road Bikes-yellow</v>
      </c>
    </row>
    <row r="300" spans="1:19" x14ac:dyDescent="0.3">
      <c r="A300" s="1">
        <v>44512</v>
      </c>
      <c r="B300">
        <v>12</v>
      </c>
      <c r="C300" t="s">
        <v>98</v>
      </c>
      <c r="D300">
        <v>2021</v>
      </c>
      <c r="E300">
        <v>31</v>
      </c>
      <c r="F300" t="s">
        <v>19</v>
      </c>
      <c r="G300" t="s">
        <v>122</v>
      </c>
      <c r="H300" t="s">
        <v>23</v>
      </c>
      <c r="I300" t="s">
        <v>24</v>
      </c>
      <c r="J300" t="s">
        <v>17</v>
      </c>
      <c r="K300" t="s">
        <v>29</v>
      </c>
      <c r="L300">
        <v>1</v>
      </c>
      <c r="M300" s="6">
        <v>713</v>
      </c>
      <c r="N300" s="6">
        <v>1120</v>
      </c>
      <c r="O300" s="6">
        <f>Table1[[#This Row],[Unit_Price]]*Table1[[#This Row],[Order_Quantity]]</f>
        <v>1120</v>
      </c>
      <c r="P300" s="6">
        <f>Table1[[#This Row],[Unit_Cost]]*Table1[[#This Row],[Order_Quantity]]</f>
        <v>713</v>
      </c>
      <c r="Q300" s="4">
        <f>Table1[[#This Row],[total sales]]-Table1[[#This Row],[total cost]]</f>
        <v>407</v>
      </c>
      <c r="R300" s="6" t="s">
        <v>136</v>
      </c>
      <c r="S300" s="6" t="str">
        <f>_xlfn.CONCAT(Table1[[#This Row],[Sub_Category]],"-",Table1[[#This Row],[bike colour]])</f>
        <v>Road Bikes-yellow</v>
      </c>
    </row>
    <row r="301" spans="1:19" x14ac:dyDescent="0.3">
      <c r="A301" s="1">
        <v>44512</v>
      </c>
      <c r="B301">
        <v>12</v>
      </c>
      <c r="C301" t="s">
        <v>98</v>
      </c>
      <c r="D301">
        <v>2021</v>
      </c>
      <c r="E301">
        <v>39</v>
      </c>
      <c r="F301" t="s">
        <v>14</v>
      </c>
      <c r="G301" t="s">
        <v>120</v>
      </c>
      <c r="H301" t="s">
        <v>23</v>
      </c>
      <c r="I301" t="s">
        <v>24</v>
      </c>
      <c r="J301" t="s">
        <v>17</v>
      </c>
      <c r="K301" t="s">
        <v>41</v>
      </c>
      <c r="L301">
        <v>1</v>
      </c>
      <c r="M301" s="6">
        <v>713</v>
      </c>
      <c r="N301" s="6">
        <v>1120</v>
      </c>
      <c r="O301" s="6">
        <f>Table1[[#This Row],[Unit_Price]]*Table1[[#This Row],[Order_Quantity]]</f>
        <v>1120</v>
      </c>
      <c r="P301" s="6">
        <f>Table1[[#This Row],[Unit_Cost]]*Table1[[#This Row],[Order_Quantity]]</f>
        <v>713</v>
      </c>
      <c r="Q301" s="4">
        <f>Table1[[#This Row],[total sales]]-Table1[[#This Row],[total cost]]</f>
        <v>407</v>
      </c>
      <c r="R301" s="6" t="s">
        <v>138</v>
      </c>
      <c r="S301" s="6" t="str">
        <f>_xlfn.CONCAT(Table1[[#This Row],[Sub_Category]],"-",Table1[[#This Row],[bike colour]])</f>
        <v>Road Bikes-black</v>
      </c>
    </row>
    <row r="302" spans="1:19" x14ac:dyDescent="0.3">
      <c r="A302" s="1">
        <v>44512</v>
      </c>
      <c r="B302">
        <v>12</v>
      </c>
      <c r="C302" t="s">
        <v>98</v>
      </c>
      <c r="D302">
        <v>2021</v>
      </c>
      <c r="E302">
        <v>44</v>
      </c>
      <c r="F302" t="s">
        <v>14</v>
      </c>
      <c r="G302" t="s">
        <v>120</v>
      </c>
      <c r="H302" t="s">
        <v>15</v>
      </c>
      <c r="I302" t="s">
        <v>82</v>
      </c>
      <c r="J302" t="s">
        <v>17</v>
      </c>
      <c r="K302" t="s">
        <v>80</v>
      </c>
      <c r="L302">
        <v>1</v>
      </c>
      <c r="M302" s="6">
        <v>713</v>
      </c>
      <c r="N302" s="6">
        <v>1120</v>
      </c>
      <c r="O302" s="6">
        <f>Table1[[#This Row],[Unit_Price]]*Table1[[#This Row],[Order_Quantity]]</f>
        <v>1120</v>
      </c>
      <c r="P302" s="6">
        <f>Table1[[#This Row],[Unit_Cost]]*Table1[[#This Row],[Order_Quantity]]</f>
        <v>713</v>
      </c>
      <c r="Q302" s="4">
        <f>Table1[[#This Row],[total sales]]-Table1[[#This Row],[total cost]]</f>
        <v>407</v>
      </c>
      <c r="R302" s="6" t="s">
        <v>138</v>
      </c>
      <c r="S302" s="6" t="str">
        <f>_xlfn.CONCAT(Table1[[#This Row],[Sub_Category]],"-",Table1[[#This Row],[bike colour]])</f>
        <v>Road Bikes-black</v>
      </c>
    </row>
    <row r="303" spans="1:19" x14ac:dyDescent="0.3">
      <c r="A303" s="1">
        <v>44513</v>
      </c>
      <c r="B303">
        <v>13</v>
      </c>
      <c r="C303" t="s">
        <v>98</v>
      </c>
      <c r="D303">
        <v>2021</v>
      </c>
      <c r="E303">
        <v>28</v>
      </c>
      <c r="F303" t="s">
        <v>19</v>
      </c>
      <c r="G303" t="s">
        <v>122</v>
      </c>
      <c r="H303" t="s">
        <v>27</v>
      </c>
      <c r="I303" t="s">
        <v>76</v>
      </c>
      <c r="J303" t="s">
        <v>17</v>
      </c>
      <c r="K303" t="s">
        <v>57</v>
      </c>
      <c r="L303">
        <v>4</v>
      </c>
      <c r="M303" s="6">
        <v>713</v>
      </c>
      <c r="N303" s="6">
        <v>1120</v>
      </c>
      <c r="O303" s="6">
        <f>Table1[[#This Row],[Unit_Price]]*Table1[[#This Row],[Order_Quantity]]</f>
        <v>4480</v>
      </c>
      <c r="P303" s="6">
        <f>Table1[[#This Row],[Unit_Cost]]*Table1[[#This Row],[Order_Quantity]]</f>
        <v>2852</v>
      </c>
      <c r="Q303" s="4">
        <f>Table1[[#This Row],[total sales]]-Table1[[#This Row],[total cost]]</f>
        <v>1628</v>
      </c>
      <c r="R303" s="6" t="s">
        <v>138</v>
      </c>
      <c r="S303" s="6" t="str">
        <f>_xlfn.CONCAT(Table1[[#This Row],[Sub_Category]],"-",Table1[[#This Row],[bike colour]])</f>
        <v>Road Bikes-black</v>
      </c>
    </row>
    <row r="304" spans="1:19" x14ac:dyDescent="0.3">
      <c r="A304" s="1">
        <v>44513</v>
      </c>
      <c r="B304">
        <v>13</v>
      </c>
      <c r="C304" t="s">
        <v>98</v>
      </c>
      <c r="D304">
        <v>2021</v>
      </c>
      <c r="E304">
        <v>24</v>
      </c>
      <c r="F304" t="s">
        <v>49</v>
      </c>
      <c r="G304" t="s">
        <v>122</v>
      </c>
      <c r="H304" t="s">
        <v>42</v>
      </c>
      <c r="I304" t="s">
        <v>86</v>
      </c>
      <c r="J304" t="s">
        <v>17</v>
      </c>
      <c r="K304" t="s">
        <v>81</v>
      </c>
      <c r="L304">
        <v>1</v>
      </c>
      <c r="M304" s="6">
        <v>713</v>
      </c>
      <c r="N304" s="6">
        <v>1120</v>
      </c>
      <c r="O304" s="6">
        <f>Table1[[#This Row],[Unit_Price]]*Table1[[#This Row],[Order_Quantity]]</f>
        <v>1120</v>
      </c>
      <c r="P304" s="6">
        <f>Table1[[#This Row],[Unit_Cost]]*Table1[[#This Row],[Order_Quantity]]</f>
        <v>713</v>
      </c>
      <c r="Q304" s="4">
        <f>Table1[[#This Row],[total sales]]-Table1[[#This Row],[total cost]]</f>
        <v>407</v>
      </c>
      <c r="R304" s="6" t="s">
        <v>136</v>
      </c>
      <c r="S304" s="6" t="str">
        <f>_xlfn.CONCAT(Table1[[#This Row],[Sub_Category]],"-",Table1[[#This Row],[bike colour]])</f>
        <v>Road Bikes-yellow</v>
      </c>
    </row>
    <row r="305" spans="1:19" x14ac:dyDescent="0.3">
      <c r="A305" s="1">
        <v>44513</v>
      </c>
      <c r="B305">
        <v>13</v>
      </c>
      <c r="C305" t="s">
        <v>98</v>
      </c>
      <c r="D305">
        <v>2021</v>
      </c>
      <c r="E305">
        <v>29</v>
      </c>
      <c r="F305" t="s">
        <v>19</v>
      </c>
      <c r="G305" t="s">
        <v>120</v>
      </c>
      <c r="H305" t="s">
        <v>15</v>
      </c>
      <c r="I305" t="s">
        <v>16</v>
      </c>
      <c r="J305" t="s">
        <v>25</v>
      </c>
      <c r="K305" t="s">
        <v>56</v>
      </c>
      <c r="L305">
        <v>1</v>
      </c>
      <c r="M305" s="6">
        <v>713</v>
      </c>
      <c r="N305" s="6">
        <v>1120</v>
      </c>
      <c r="O305" s="6">
        <f>Table1[[#This Row],[Unit_Price]]*Table1[[#This Row],[Order_Quantity]]</f>
        <v>1120</v>
      </c>
      <c r="P305" s="6">
        <f>Table1[[#This Row],[Unit_Cost]]*Table1[[#This Row],[Order_Quantity]]</f>
        <v>713</v>
      </c>
      <c r="Q305" s="4">
        <f>Table1[[#This Row],[total sales]]-Table1[[#This Row],[total cost]]</f>
        <v>407</v>
      </c>
      <c r="R305" s="6" t="s">
        <v>139</v>
      </c>
      <c r="S305" s="6" t="str">
        <f>_xlfn.CONCAT(Table1[[#This Row],[Sub_Category]],"-",Table1[[#This Row],[bike colour]])</f>
        <v>Mountain Bikes-silver</v>
      </c>
    </row>
    <row r="306" spans="1:19" x14ac:dyDescent="0.3">
      <c r="A306" s="1">
        <v>44513</v>
      </c>
      <c r="B306">
        <v>13</v>
      </c>
      <c r="C306" t="s">
        <v>98</v>
      </c>
      <c r="D306">
        <v>2021</v>
      </c>
      <c r="E306">
        <v>60</v>
      </c>
      <c r="F306" t="s">
        <v>14</v>
      </c>
      <c r="G306" t="s">
        <v>122</v>
      </c>
      <c r="H306" t="s">
        <v>15</v>
      </c>
      <c r="I306" t="s">
        <v>16</v>
      </c>
      <c r="J306" t="s">
        <v>17</v>
      </c>
      <c r="K306" t="s">
        <v>54</v>
      </c>
      <c r="L306">
        <v>1</v>
      </c>
      <c r="M306" s="6">
        <v>713</v>
      </c>
      <c r="N306" s="6">
        <v>1120</v>
      </c>
      <c r="O306" s="6">
        <f>Table1[[#This Row],[Unit_Price]]*Table1[[#This Row],[Order_Quantity]]</f>
        <v>1120</v>
      </c>
      <c r="P306" s="6">
        <f>Table1[[#This Row],[Unit_Cost]]*Table1[[#This Row],[Order_Quantity]]</f>
        <v>713</v>
      </c>
      <c r="Q306" s="4">
        <f>Table1[[#This Row],[total sales]]-Table1[[#This Row],[total cost]]</f>
        <v>407</v>
      </c>
      <c r="R306" s="6" t="s">
        <v>137</v>
      </c>
      <c r="S306" s="6" t="str">
        <f>_xlfn.CONCAT(Table1[[#This Row],[Sub_Category]],"-",Table1[[#This Row],[bike colour]])</f>
        <v>Road Bikes-red</v>
      </c>
    </row>
    <row r="307" spans="1:19" x14ac:dyDescent="0.3">
      <c r="A307" s="1">
        <v>44514</v>
      </c>
      <c r="B307">
        <v>14</v>
      </c>
      <c r="C307" t="s">
        <v>98</v>
      </c>
      <c r="D307">
        <v>2021</v>
      </c>
      <c r="E307">
        <v>19</v>
      </c>
      <c r="F307" t="s">
        <v>49</v>
      </c>
      <c r="G307" t="s">
        <v>120</v>
      </c>
      <c r="H307" t="s">
        <v>42</v>
      </c>
      <c r="I307" t="s">
        <v>58</v>
      </c>
      <c r="J307" t="s">
        <v>17</v>
      </c>
      <c r="K307" t="s">
        <v>52</v>
      </c>
      <c r="L307">
        <v>3</v>
      </c>
      <c r="M307" s="6">
        <v>713</v>
      </c>
      <c r="N307" s="6">
        <v>1120</v>
      </c>
      <c r="O307" s="6">
        <f>Table1[[#This Row],[Unit_Price]]*Table1[[#This Row],[Order_Quantity]]</f>
        <v>3360</v>
      </c>
      <c r="P307" s="6">
        <f>Table1[[#This Row],[Unit_Cost]]*Table1[[#This Row],[Order_Quantity]]</f>
        <v>2139</v>
      </c>
      <c r="Q307" s="4">
        <f>Table1[[#This Row],[total sales]]-Table1[[#This Row],[total cost]]</f>
        <v>1221</v>
      </c>
      <c r="R307" s="6" t="s">
        <v>138</v>
      </c>
      <c r="S307" s="6" t="str">
        <f>_xlfn.CONCAT(Table1[[#This Row],[Sub_Category]],"-",Table1[[#This Row],[bike colour]])</f>
        <v>Road Bikes-black</v>
      </c>
    </row>
    <row r="308" spans="1:19" x14ac:dyDescent="0.3">
      <c r="A308" s="1">
        <v>44514</v>
      </c>
      <c r="B308">
        <v>14</v>
      </c>
      <c r="C308" t="s">
        <v>98</v>
      </c>
      <c r="D308">
        <v>2021</v>
      </c>
      <c r="E308">
        <v>23</v>
      </c>
      <c r="F308" t="s">
        <v>49</v>
      </c>
      <c r="G308" t="s">
        <v>120</v>
      </c>
      <c r="H308" t="s">
        <v>15</v>
      </c>
      <c r="I308" t="s">
        <v>47</v>
      </c>
      <c r="J308" t="s">
        <v>17</v>
      </c>
      <c r="K308" t="s">
        <v>54</v>
      </c>
      <c r="L308">
        <v>3</v>
      </c>
      <c r="M308" s="6">
        <v>713</v>
      </c>
      <c r="N308" s="6">
        <v>1120</v>
      </c>
      <c r="O308" s="6">
        <f>Table1[[#This Row],[Unit_Price]]*Table1[[#This Row],[Order_Quantity]]</f>
        <v>3360</v>
      </c>
      <c r="P308" s="6">
        <f>Table1[[#This Row],[Unit_Cost]]*Table1[[#This Row],[Order_Quantity]]</f>
        <v>2139</v>
      </c>
      <c r="Q308" s="4">
        <f>Table1[[#This Row],[total sales]]-Table1[[#This Row],[total cost]]</f>
        <v>1221</v>
      </c>
      <c r="R308" s="6" t="s">
        <v>137</v>
      </c>
      <c r="S308" s="6" t="str">
        <f>_xlfn.CONCAT(Table1[[#This Row],[Sub_Category]],"-",Table1[[#This Row],[bike colour]])</f>
        <v>Road Bikes-red</v>
      </c>
    </row>
    <row r="309" spans="1:19" x14ac:dyDescent="0.3">
      <c r="A309" s="1">
        <v>44514</v>
      </c>
      <c r="B309">
        <v>14</v>
      </c>
      <c r="C309" t="s">
        <v>98</v>
      </c>
      <c r="D309">
        <v>2021</v>
      </c>
      <c r="E309">
        <v>22</v>
      </c>
      <c r="F309" t="s">
        <v>49</v>
      </c>
      <c r="G309" t="s">
        <v>120</v>
      </c>
      <c r="H309" t="s">
        <v>42</v>
      </c>
      <c r="I309" t="s">
        <v>58</v>
      </c>
      <c r="J309" t="s">
        <v>25</v>
      </c>
      <c r="K309" t="s">
        <v>26</v>
      </c>
      <c r="L309">
        <v>2</v>
      </c>
      <c r="M309" s="6">
        <v>713</v>
      </c>
      <c r="N309" s="6">
        <v>1120</v>
      </c>
      <c r="O309" s="6">
        <f>Table1[[#This Row],[Unit_Price]]*Table1[[#This Row],[Order_Quantity]]</f>
        <v>2240</v>
      </c>
      <c r="P309" s="6">
        <f>Table1[[#This Row],[Unit_Cost]]*Table1[[#This Row],[Order_Quantity]]</f>
        <v>1426</v>
      </c>
      <c r="Q309" s="4">
        <f>Table1[[#This Row],[total sales]]-Table1[[#This Row],[total cost]]</f>
        <v>814</v>
      </c>
      <c r="R309" s="6" t="s">
        <v>138</v>
      </c>
      <c r="S309" s="6" t="str">
        <f>_xlfn.CONCAT(Table1[[#This Row],[Sub_Category]],"-",Table1[[#This Row],[bike colour]])</f>
        <v>Mountain Bikes-black</v>
      </c>
    </row>
    <row r="310" spans="1:19" x14ac:dyDescent="0.3">
      <c r="A310" s="1">
        <v>44514</v>
      </c>
      <c r="B310">
        <v>14</v>
      </c>
      <c r="C310" t="s">
        <v>98</v>
      </c>
      <c r="D310">
        <v>2021</v>
      </c>
      <c r="E310">
        <v>56</v>
      </c>
      <c r="F310" t="s">
        <v>14</v>
      </c>
      <c r="G310" t="s">
        <v>122</v>
      </c>
      <c r="H310" t="s">
        <v>15</v>
      </c>
      <c r="I310" t="s">
        <v>47</v>
      </c>
      <c r="J310" t="s">
        <v>17</v>
      </c>
      <c r="K310" t="s">
        <v>85</v>
      </c>
      <c r="L310">
        <v>1</v>
      </c>
      <c r="M310" s="6">
        <v>713</v>
      </c>
      <c r="N310" s="6">
        <v>1120</v>
      </c>
      <c r="O310" s="6">
        <f>Table1[[#This Row],[Unit_Price]]*Table1[[#This Row],[Order_Quantity]]</f>
        <v>1120</v>
      </c>
      <c r="P310" s="6">
        <f>Table1[[#This Row],[Unit_Cost]]*Table1[[#This Row],[Order_Quantity]]</f>
        <v>713</v>
      </c>
      <c r="Q310" s="4">
        <f>Table1[[#This Row],[total sales]]-Table1[[#This Row],[total cost]]</f>
        <v>407</v>
      </c>
      <c r="R310" s="6" t="s">
        <v>137</v>
      </c>
      <c r="S310" s="6" t="str">
        <f>_xlfn.CONCAT(Table1[[#This Row],[Sub_Category]],"-",Table1[[#This Row],[bike colour]])</f>
        <v>Road Bikes-red</v>
      </c>
    </row>
    <row r="311" spans="1:19" x14ac:dyDescent="0.3">
      <c r="A311" s="1">
        <v>44514</v>
      </c>
      <c r="B311">
        <v>14</v>
      </c>
      <c r="C311" t="s">
        <v>98</v>
      </c>
      <c r="D311">
        <v>2021</v>
      </c>
      <c r="E311">
        <v>56</v>
      </c>
      <c r="F311" t="s">
        <v>14</v>
      </c>
      <c r="G311" t="s">
        <v>122</v>
      </c>
      <c r="H311" t="s">
        <v>15</v>
      </c>
      <c r="I311" t="s">
        <v>47</v>
      </c>
      <c r="J311" t="s">
        <v>17</v>
      </c>
      <c r="K311" t="s">
        <v>85</v>
      </c>
      <c r="L311">
        <v>1</v>
      </c>
      <c r="M311" s="6">
        <v>713</v>
      </c>
      <c r="N311" s="6">
        <v>1120</v>
      </c>
      <c r="O311" s="6">
        <f>Table1[[#This Row],[Unit_Price]]*Table1[[#This Row],[Order_Quantity]]</f>
        <v>1120</v>
      </c>
      <c r="P311" s="6">
        <f>Table1[[#This Row],[Unit_Cost]]*Table1[[#This Row],[Order_Quantity]]</f>
        <v>713</v>
      </c>
      <c r="Q311" s="4">
        <f>Table1[[#This Row],[total sales]]-Table1[[#This Row],[total cost]]</f>
        <v>407</v>
      </c>
      <c r="R311" s="6" t="s">
        <v>137</v>
      </c>
      <c r="S311" s="6" t="str">
        <f>_xlfn.CONCAT(Table1[[#This Row],[Sub_Category]],"-",Table1[[#This Row],[bike colour]])</f>
        <v>Road Bikes-red</v>
      </c>
    </row>
    <row r="312" spans="1:19" x14ac:dyDescent="0.3">
      <c r="A312" s="1">
        <v>44515</v>
      </c>
      <c r="B312">
        <v>15</v>
      </c>
      <c r="C312" t="s">
        <v>98</v>
      </c>
      <c r="D312">
        <v>2021</v>
      </c>
      <c r="E312">
        <v>19</v>
      </c>
      <c r="F312" t="s">
        <v>49</v>
      </c>
      <c r="G312" t="s">
        <v>120</v>
      </c>
      <c r="H312" t="s">
        <v>15</v>
      </c>
      <c r="I312" t="s">
        <v>16</v>
      </c>
      <c r="J312" t="s">
        <v>25</v>
      </c>
      <c r="K312" t="s">
        <v>61</v>
      </c>
      <c r="L312">
        <v>1</v>
      </c>
      <c r="M312" s="6">
        <v>713</v>
      </c>
      <c r="N312" s="6">
        <v>1120</v>
      </c>
      <c r="O312" s="6">
        <f>Table1[[#This Row],[Unit_Price]]*Table1[[#This Row],[Order_Quantity]]</f>
        <v>1120</v>
      </c>
      <c r="P312" s="6">
        <f>Table1[[#This Row],[Unit_Cost]]*Table1[[#This Row],[Order_Quantity]]</f>
        <v>713</v>
      </c>
      <c r="Q312" s="4">
        <f>Table1[[#This Row],[total sales]]-Table1[[#This Row],[total cost]]</f>
        <v>407</v>
      </c>
      <c r="R312" s="6" t="s">
        <v>138</v>
      </c>
      <c r="S312" s="6" t="str">
        <f>_xlfn.CONCAT(Table1[[#This Row],[Sub_Category]],"-",Table1[[#This Row],[bike colour]])</f>
        <v>Mountain Bikes-black</v>
      </c>
    </row>
    <row r="313" spans="1:19" x14ac:dyDescent="0.3">
      <c r="A313" s="1">
        <v>44515</v>
      </c>
      <c r="B313">
        <v>15</v>
      </c>
      <c r="C313" t="s">
        <v>98</v>
      </c>
      <c r="D313">
        <v>2021</v>
      </c>
      <c r="E313">
        <v>34</v>
      </c>
      <c r="F313" t="s">
        <v>19</v>
      </c>
      <c r="G313" t="s">
        <v>120</v>
      </c>
      <c r="H313" t="s">
        <v>15</v>
      </c>
      <c r="I313" t="s">
        <v>16</v>
      </c>
      <c r="J313" t="s">
        <v>17</v>
      </c>
      <c r="K313" t="s">
        <v>57</v>
      </c>
      <c r="L313">
        <v>1</v>
      </c>
      <c r="M313" s="6">
        <v>713</v>
      </c>
      <c r="N313" s="6">
        <v>1120</v>
      </c>
      <c r="O313" s="6">
        <f>Table1[[#This Row],[Unit_Price]]*Table1[[#This Row],[Order_Quantity]]</f>
        <v>1120</v>
      </c>
      <c r="P313" s="6">
        <f>Table1[[#This Row],[Unit_Cost]]*Table1[[#This Row],[Order_Quantity]]</f>
        <v>713</v>
      </c>
      <c r="Q313" s="4">
        <f>Table1[[#This Row],[total sales]]-Table1[[#This Row],[total cost]]</f>
        <v>407</v>
      </c>
      <c r="R313" s="6" t="s">
        <v>138</v>
      </c>
      <c r="S313" s="6" t="str">
        <f>_xlfn.CONCAT(Table1[[#This Row],[Sub_Category]],"-",Table1[[#This Row],[bike colour]])</f>
        <v>Road Bikes-black</v>
      </c>
    </row>
    <row r="314" spans="1:19" x14ac:dyDescent="0.3">
      <c r="A314" s="1">
        <v>44515</v>
      </c>
      <c r="B314">
        <v>15</v>
      </c>
      <c r="C314" t="s">
        <v>98</v>
      </c>
      <c r="D314">
        <v>2021</v>
      </c>
      <c r="E314">
        <v>40</v>
      </c>
      <c r="F314" t="s">
        <v>14</v>
      </c>
      <c r="G314" t="s">
        <v>122</v>
      </c>
      <c r="H314" t="s">
        <v>23</v>
      </c>
      <c r="I314" t="s">
        <v>24</v>
      </c>
      <c r="J314" t="s">
        <v>17</v>
      </c>
      <c r="K314" t="s">
        <v>80</v>
      </c>
      <c r="L314">
        <v>1</v>
      </c>
      <c r="M314" s="6">
        <v>713</v>
      </c>
      <c r="N314" s="6">
        <v>1120</v>
      </c>
      <c r="O314" s="6">
        <f>Table1[[#This Row],[Unit_Price]]*Table1[[#This Row],[Order_Quantity]]</f>
        <v>1120</v>
      </c>
      <c r="P314" s="6">
        <f>Table1[[#This Row],[Unit_Cost]]*Table1[[#This Row],[Order_Quantity]]</f>
        <v>713</v>
      </c>
      <c r="Q314" s="4">
        <f>Table1[[#This Row],[total sales]]-Table1[[#This Row],[total cost]]</f>
        <v>407</v>
      </c>
      <c r="R314" s="6" t="s">
        <v>138</v>
      </c>
      <c r="S314" s="6" t="str">
        <f>_xlfn.CONCAT(Table1[[#This Row],[Sub_Category]],"-",Table1[[#This Row],[bike colour]])</f>
        <v>Road Bikes-black</v>
      </c>
    </row>
    <row r="315" spans="1:19" x14ac:dyDescent="0.3">
      <c r="A315" s="1">
        <v>44516</v>
      </c>
      <c r="B315">
        <v>16</v>
      </c>
      <c r="C315" t="s">
        <v>98</v>
      </c>
      <c r="D315">
        <v>2021</v>
      </c>
      <c r="E315">
        <v>25</v>
      </c>
      <c r="F315" t="s">
        <v>19</v>
      </c>
      <c r="G315" t="s">
        <v>122</v>
      </c>
      <c r="H315" t="s">
        <v>27</v>
      </c>
      <c r="I315" t="s">
        <v>28</v>
      </c>
      <c r="J315" t="s">
        <v>17</v>
      </c>
      <c r="K315" t="s">
        <v>18</v>
      </c>
      <c r="L315">
        <v>3</v>
      </c>
      <c r="M315" s="6">
        <v>713</v>
      </c>
      <c r="N315" s="6">
        <v>1120</v>
      </c>
      <c r="O315" s="6">
        <f>Table1[[#This Row],[Unit_Price]]*Table1[[#This Row],[Order_Quantity]]</f>
        <v>3360</v>
      </c>
      <c r="P315" s="6">
        <f>Table1[[#This Row],[Unit_Cost]]*Table1[[#This Row],[Order_Quantity]]</f>
        <v>2139</v>
      </c>
      <c r="Q315" s="4">
        <f>Table1[[#This Row],[total sales]]-Table1[[#This Row],[total cost]]</f>
        <v>1221</v>
      </c>
      <c r="R315" s="6" t="s">
        <v>136</v>
      </c>
      <c r="S315" s="6" t="str">
        <f>_xlfn.CONCAT(Table1[[#This Row],[Sub_Category]],"-",Table1[[#This Row],[bike colour]])</f>
        <v>Road Bikes-yellow</v>
      </c>
    </row>
    <row r="316" spans="1:19" x14ac:dyDescent="0.3">
      <c r="A316" s="1">
        <v>44516</v>
      </c>
      <c r="B316">
        <v>16</v>
      </c>
      <c r="C316" t="s">
        <v>98</v>
      </c>
      <c r="D316">
        <v>2021</v>
      </c>
      <c r="E316">
        <v>40</v>
      </c>
      <c r="F316" t="s">
        <v>14</v>
      </c>
      <c r="G316" t="s">
        <v>120</v>
      </c>
      <c r="H316" t="s">
        <v>42</v>
      </c>
      <c r="I316" t="s">
        <v>43</v>
      </c>
      <c r="J316" t="s">
        <v>25</v>
      </c>
      <c r="K316" t="s">
        <v>26</v>
      </c>
      <c r="L316">
        <v>3</v>
      </c>
      <c r="M316" s="6">
        <v>713</v>
      </c>
      <c r="N316" s="6">
        <v>1120</v>
      </c>
      <c r="O316" s="6">
        <f>Table1[[#This Row],[Unit_Price]]*Table1[[#This Row],[Order_Quantity]]</f>
        <v>3360</v>
      </c>
      <c r="P316" s="6">
        <f>Table1[[#This Row],[Unit_Cost]]*Table1[[#This Row],[Order_Quantity]]</f>
        <v>2139</v>
      </c>
      <c r="Q316" s="4">
        <f>Table1[[#This Row],[total sales]]-Table1[[#This Row],[total cost]]</f>
        <v>1221</v>
      </c>
      <c r="R316" s="6" t="s">
        <v>138</v>
      </c>
      <c r="S316" s="6" t="str">
        <f>_xlfn.CONCAT(Table1[[#This Row],[Sub_Category]],"-",Table1[[#This Row],[bike colour]])</f>
        <v>Mountain Bikes-black</v>
      </c>
    </row>
    <row r="317" spans="1:19" x14ac:dyDescent="0.3">
      <c r="A317" s="1">
        <v>44516</v>
      </c>
      <c r="B317">
        <v>16</v>
      </c>
      <c r="C317" t="s">
        <v>98</v>
      </c>
      <c r="D317">
        <v>2021</v>
      </c>
      <c r="E317">
        <v>20</v>
      </c>
      <c r="F317" t="s">
        <v>49</v>
      </c>
      <c r="G317" t="s">
        <v>120</v>
      </c>
      <c r="H317" t="s">
        <v>42</v>
      </c>
      <c r="I317" t="s">
        <v>68</v>
      </c>
      <c r="J317" t="s">
        <v>17</v>
      </c>
      <c r="K317" t="s">
        <v>64</v>
      </c>
      <c r="L317">
        <v>2</v>
      </c>
      <c r="M317" s="6">
        <v>713</v>
      </c>
      <c r="N317" s="6">
        <v>1120</v>
      </c>
      <c r="O317" s="6">
        <f>Table1[[#This Row],[Unit_Price]]*Table1[[#This Row],[Order_Quantity]]</f>
        <v>2240</v>
      </c>
      <c r="P317" s="6">
        <f>Table1[[#This Row],[Unit_Cost]]*Table1[[#This Row],[Order_Quantity]]</f>
        <v>1426</v>
      </c>
      <c r="Q317" s="4">
        <f>Table1[[#This Row],[total sales]]-Table1[[#This Row],[total cost]]</f>
        <v>814</v>
      </c>
      <c r="R317" s="6" t="s">
        <v>136</v>
      </c>
      <c r="S317" s="6" t="str">
        <f>_xlfn.CONCAT(Table1[[#This Row],[Sub_Category]],"-",Table1[[#This Row],[bike colour]])</f>
        <v>Road Bikes-yellow</v>
      </c>
    </row>
    <row r="318" spans="1:19" x14ac:dyDescent="0.3">
      <c r="A318" s="1">
        <v>44516</v>
      </c>
      <c r="B318">
        <v>16</v>
      </c>
      <c r="C318" t="s">
        <v>98</v>
      </c>
      <c r="D318">
        <v>2021</v>
      </c>
      <c r="E318">
        <v>20</v>
      </c>
      <c r="F318" t="s">
        <v>49</v>
      </c>
      <c r="G318" t="s">
        <v>122</v>
      </c>
      <c r="H318" t="s">
        <v>27</v>
      </c>
      <c r="I318" t="s">
        <v>28</v>
      </c>
      <c r="J318" t="s">
        <v>17</v>
      </c>
      <c r="K318" t="s">
        <v>80</v>
      </c>
      <c r="L318">
        <v>1</v>
      </c>
      <c r="M318" s="6">
        <v>713</v>
      </c>
      <c r="N318" s="6">
        <v>1120</v>
      </c>
      <c r="O318" s="6">
        <f>Table1[[#This Row],[Unit_Price]]*Table1[[#This Row],[Order_Quantity]]</f>
        <v>1120</v>
      </c>
      <c r="P318" s="6">
        <f>Table1[[#This Row],[Unit_Cost]]*Table1[[#This Row],[Order_Quantity]]</f>
        <v>713</v>
      </c>
      <c r="Q318" s="4">
        <f>Table1[[#This Row],[total sales]]-Table1[[#This Row],[total cost]]</f>
        <v>407</v>
      </c>
      <c r="R318" s="6" t="s">
        <v>138</v>
      </c>
      <c r="S318" s="6" t="str">
        <f>_xlfn.CONCAT(Table1[[#This Row],[Sub_Category]],"-",Table1[[#This Row],[bike colour]])</f>
        <v>Road Bikes-black</v>
      </c>
    </row>
    <row r="319" spans="1:19" x14ac:dyDescent="0.3">
      <c r="A319" s="1">
        <v>44516</v>
      </c>
      <c r="B319">
        <v>16</v>
      </c>
      <c r="C319" t="s">
        <v>98</v>
      </c>
      <c r="D319">
        <v>2021</v>
      </c>
      <c r="E319">
        <v>23</v>
      </c>
      <c r="F319" t="s">
        <v>49</v>
      </c>
      <c r="G319" t="s">
        <v>122</v>
      </c>
      <c r="H319" t="s">
        <v>15</v>
      </c>
      <c r="I319" t="s">
        <v>82</v>
      </c>
      <c r="J319" t="s">
        <v>17</v>
      </c>
      <c r="K319" t="s">
        <v>36</v>
      </c>
      <c r="L319">
        <v>1</v>
      </c>
      <c r="M319" s="6">
        <v>713</v>
      </c>
      <c r="N319" s="6">
        <v>1120</v>
      </c>
      <c r="O319" s="6">
        <f>Table1[[#This Row],[Unit_Price]]*Table1[[#This Row],[Order_Quantity]]</f>
        <v>1120</v>
      </c>
      <c r="P319" s="6">
        <f>Table1[[#This Row],[Unit_Cost]]*Table1[[#This Row],[Order_Quantity]]</f>
        <v>713</v>
      </c>
      <c r="Q319" s="4">
        <f>Table1[[#This Row],[total sales]]-Table1[[#This Row],[total cost]]</f>
        <v>407</v>
      </c>
      <c r="R319" s="6" t="s">
        <v>136</v>
      </c>
      <c r="S319" s="6" t="str">
        <f>_xlfn.CONCAT(Table1[[#This Row],[Sub_Category]],"-",Table1[[#This Row],[bike colour]])</f>
        <v>Road Bikes-yellow</v>
      </c>
    </row>
    <row r="320" spans="1:19" x14ac:dyDescent="0.3">
      <c r="A320" s="1">
        <v>44516</v>
      </c>
      <c r="B320">
        <v>16</v>
      </c>
      <c r="C320" t="s">
        <v>98</v>
      </c>
      <c r="D320">
        <v>2021</v>
      </c>
      <c r="E320">
        <v>25</v>
      </c>
      <c r="F320" t="s">
        <v>19</v>
      </c>
      <c r="G320" t="s">
        <v>122</v>
      </c>
      <c r="H320" t="s">
        <v>50</v>
      </c>
      <c r="I320" t="s">
        <v>94</v>
      </c>
      <c r="J320" t="s">
        <v>17</v>
      </c>
      <c r="K320" t="s">
        <v>91</v>
      </c>
      <c r="L320">
        <v>1</v>
      </c>
      <c r="M320" s="6">
        <v>713</v>
      </c>
      <c r="N320" s="6">
        <v>1120</v>
      </c>
      <c r="O320" s="6">
        <f>Table1[[#This Row],[Unit_Price]]*Table1[[#This Row],[Order_Quantity]]</f>
        <v>1120</v>
      </c>
      <c r="P320" s="6">
        <f>Table1[[#This Row],[Unit_Cost]]*Table1[[#This Row],[Order_Quantity]]</f>
        <v>713</v>
      </c>
      <c r="Q320" s="4">
        <f>Table1[[#This Row],[total sales]]-Table1[[#This Row],[total cost]]</f>
        <v>407</v>
      </c>
      <c r="R320" s="6" t="s">
        <v>136</v>
      </c>
      <c r="S320" s="6" t="str">
        <f>_xlfn.CONCAT(Table1[[#This Row],[Sub_Category]],"-",Table1[[#This Row],[bike colour]])</f>
        <v>Road Bikes-yellow</v>
      </c>
    </row>
    <row r="321" spans="1:19" x14ac:dyDescent="0.3">
      <c r="A321" s="1">
        <v>44516</v>
      </c>
      <c r="B321">
        <v>16</v>
      </c>
      <c r="C321" t="s">
        <v>98</v>
      </c>
      <c r="D321">
        <v>2021</v>
      </c>
      <c r="E321">
        <v>33</v>
      </c>
      <c r="F321" t="s">
        <v>19</v>
      </c>
      <c r="G321" t="s">
        <v>120</v>
      </c>
      <c r="H321" t="s">
        <v>15</v>
      </c>
      <c r="I321" t="s">
        <v>16</v>
      </c>
      <c r="J321" t="s">
        <v>25</v>
      </c>
      <c r="K321" t="s">
        <v>34</v>
      </c>
      <c r="L321">
        <v>1</v>
      </c>
      <c r="M321" s="6">
        <v>713</v>
      </c>
      <c r="N321" s="6">
        <v>1120</v>
      </c>
      <c r="O321" s="6">
        <f>Table1[[#This Row],[Unit_Price]]*Table1[[#This Row],[Order_Quantity]]</f>
        <v>1120</v>
      </c>
      <c r="P321" s="6">
        <f>Table1[[#This Row],[Unit_Cost]]*Table1[[#This Row],[Order_Quantity]]</f>
        <v>713</v>
      </c>
      <c r="Q321" s="4">
        <f>Table1[[#This Row],[total sales]]-Table1[[#This Row],[total cost]]</f>
        <v>407</v>
      </c>
      <c r="R321" s="6" t="s">
        <v>138</v>
      </c>
      <c r="S321" s="6" t="str">
        <f>_xlfn.CONCAT(Table1[[#This Row],[Sub_Category]],"-",Table1[[#This Row],[bike colour]])</f>
        <v>Mountain Bikes-black</v>
      </c>
    </row>
    <row r="322" spans="1:19" x14ac:dyDescent="0.3">
      <c r="A322" s="1">
        <v>44516</v>
      </c>
      <c r="B322">
        <v>16</v>
      </c>
      <c r="C322" t="s">
        <v>98</v>
      </c>
      <c r="D322">
        <v>2021</v>
      </c>
      <c r="E322">
        <v>41</v>
      </c>
      <c r="F322" t="s">
        <v>14</v>
      </c>
      <c r="G322" t="s">
        <v>122</v>
      </c>
      <c r="H322" t="s">
        <v>23</v>
      </c>
      <c r="I322" t="s">
        <v>24</v>
      </c>
      <c r="J322" t="s">
        <v>17</v>
      </c>
      <c r="K322" t="s">
        <v>75</v>
      </c>
      <c r="L322">
        <v>1</v>
      </c>
      <c r="M322" s="6">
        <v>713</v>
      </c>
      <c r="N322" s="6">
        <v>1120</v>
      </c>
      <c r="O322" s="6">
        <f>Table1[[#This Row],[Unit_Price]]*Table1[[#This Row],[Order_Quantity]]</f>
        <v>1120</v>
      </c>
      <c r="P322" s="6">
        <f>Table1[[#This Row],[Unit_Cost]]*Table1[[#This Row],[Order_Quantity]]</f>
        <v>713</v>
      </c>
      <c r="Q322" s="4">
        <f>Table1[[#This Row],[total sales]]-Table1[[#This Row],[total cost]]</f>
        <v>407</v>
      </c>
      <c r="R322" s="6" t="s">
        <v>137</v>
      </c>
      <c r="S322" s="6" t="str">
        <f>_xlfn.CONCAT(Table1[[#This Row],[Sub_Category]],"-",Table1[[#This Row],[bike colour]])</f>
        <v>Road Bikes-red</v>
      </c>
    </row>
    <row r="323" spans="1:19" x14ac:dyDescent="0.3">
      <c r="A323" s="1">
        <v>44517</v>
      </c>
      <c r="B323">
        <v>17</v>
      </c>
      <c r="C323" t="s">
        <v>98</v>
      </c>
      <c r="D323">
        <v>2021</v>
      </c>
      <c r="E323">
        <v>26</v>
      </c>
      <c r="F323" t="s">
        <v>19</v>
      </c>
      <c r="G323" t="s">
        <v>120</v>
      </c>
      <c r="H323" t="s">
        <v>27</v>
      </c>
      <c r="I323" t="s">
        <v>28</v>
      </c>
      <c r="J323" t="s">
        <v>17</v>
      </c>
      <c r="K323" t="s">
        <v>55</v>
      </c>
      <c r="L323">
        <v>2</v>
      </c>
      <c r="M323" s="6">
        <v>713</v>
      </c>
      <c r="N323" s="6">
        <v>1120</v>
      </c>
      <c r="O323" s="6">
        <f>Table1[[#This Row],[Unit_Price]]*Table1[[#This Row],[Order_Quantity]]</f>
        <v>2240</v>
      </c>
      <c r="P323" s="6">
        <f>Table1[[#This Row],[Unit_Cost]]*Table1[[#This Row],[Order_Quantity]]</f>
        <v>1426</v>
      </c>
      <c r="Q323" s="4">
        <f>Table1[[#This Row],[total sales]]-Table1[[#This Row],[total cost]]</f>
        <v>814</v>
      </c>
      <c r="R323" s="6" t="s">
        <v>138</v>
      </c>
      <c r="S323" s="6" t="str">
        <f>_xlfn.CONCAT(Table1[[#This Row],[Sub_Category]],"-",Table1[[#This Row],[bike colour]])</f>
        <v>Road Bikes-black</v>
      </c>
    </row>
    <row r="324" spans="1:19" x14ac:dyDescent="0.3">
      <c r="A324" s="1">
        <v>44517</v>
      </c>
      <c r="B324">
        <v>17</v>
      </c>
      <c r="C324" t="s">
        <v>98</v>
      </c>
      <c r="D324">
        <v>2021</v>
      </c>
      <c r="E324">
        <v>28</v>
      </c>
      <c r="F324" t="s">
        <v>19</v>
      </c>
      <c r="G324" t="s">
        <v>122</v>
      </c>
      <c r="H324" t="s">
        <v>23</v>
      </c>
      <c r="I324" t="s">
        <v>24</v>
      </c>
      <c r="J324" t="s">
        <v>17</v>
      </c>
      <c r="K324" t="s">
        <v>59</v>
      </c>
      <c r="L324">
        <v>2</v>
      </c>
      <c r="M324" s="6">
        <v>713</v>
      </c>
      <c r="N324" s="6">
        <v>1120</v>
      </c>
      <c r="O324" s="6">
        <f>Table1[[#This Row],[Unit_Price]]*Table1[[#This Row],[Order_Quantity]]</f>
        <v>2240</v>
      </c>
      <c r="P324" s="6">
        <f>Table1[[#This Row],[Unit_Cost]]*Table1[[#This Row],[Order_Quantity]]</f>
        <v>1426</v>
      </c>
      <c r="Q324" s="4">
        <f>Table1[[#This Row],[total sales]]-Table1[[#This Row],[total cost]]</f>
        <v>814</v>
      </c>
      <c r="R324" s="6" t="s">
        <v>137</v>
      </c>
      <c r="S324" s="6" t="str">
        <f>_xlfn.CONCAT(Table1[[#This Row],[Sub_Category]],"-",Table1[[#This Row],[bike colour]])</f>
        <v>Road Bikes-red</v>
      </c>
    </row>
    <row r="325" spans="1:19" x14ac:dyDescent="0.3">
      <c r="A325" s="1">
        <v>44517</v>
      </c>
      <c r="B325">
        <v>17</v>
      </c>
      <c r="C325" t="s">
        <v>98</v>
      </c>
      <c r="D325">
        <v>2021</v>
      </c>
      <c r="E325">
        <v>21</v>
      </c>
      <c r="F325" t="s">
        <v>49</v>
      </c>
      <c r="G325" t="s">
        <v>120</v>
      </c>
      <c r="H325" t="s">
        <v>27</v>
      </c>
      <c r="I325" t="s">
        <v>33</v>
      </c>
      <c r="J325" t="s">
        <v>17</v>
      </c>
      <c r="K325" t="s">
        <v>52</v>
      </c>
      <c r="L325">
        <v>1</v>
      </c>
      <c r="M325" s="6">
        <v>713</v>
      </c>
      <c r="N325" s="6">
        <v>1120</v>
      </c>
      <c r="O325" s="6">
        <f>Table1[[#This Row],[Unit_Price]]*Table1[[#This Row],[Order_Quantity]]</f>
        <v>1120</v>
      </c>
      <c r="P325" s="6">
        <f>Table1[[#This Row],[Unit_Cost]]*Table1[[#This Row],[Order_Quantity]]</f>
        <v>713</v>
      </c>
      <c r="Q325" s="4">
        <f>Table1[[#This Row],[total sales]]-Table1[[#This Row],[total cost]]</f>
        <v>407</v>
      </c>
      <c r="R325" s="6" t="s">
        <v>138</v>
      </c>
      <c r="S325" s="6" t="str">
        <f>_xlfn.CONCAT(Table1[[#This Row],[Sub_Category]],"-",Table1[[#This Row],[bike colour]])</f>
        <v>Road Bikes-black</v>
      </c>
    </row>
    <row r="326" spans="1:19" x14ac:dyDescent="0.3">
      <c r="A326" s="1">
        <v>44517</v>
      </c>
      <c r="B326">
        <v>17</v>
      </c>
      <c r="C326" t="s">
        <v>98</v>
      </c>
      <c r="D326">
        <v>2021</v>
      </c>
      <c r="E326">
        <v>28</v>
      </c>
      <c r="F326" t="s">
        <v>19</v>
      </c>
      <c r="G326" t="s">
        <v>122</v>
      </c>
      <c r="H326" t="s">
        <v>23</v>
      </c>
      <c r="I326" t="s">
        <v>24</v>
      </c>
      <c r="J326" t="s">
        <v>25</v>
      </c>
      <c r="K326" t="s">
        <v>26</v>
      </c>
      <c r="L326">
        <v>1</v>
      </c>
      <c r="M326" s="6">
        <v>713</v>
      </c>
      <c r="N326" s="6">
        <v>1120</v>
      </c>
      <c r="O326" s="6">
        <f>Table1[[#This Row],[Unit_Price]]*Table1[[#This Row],[Order_Quantity]]</f>
        <v>1120</v>
      </c>
      <c r="P326" s="6">
        <f>Table1[[#This Row],[Unit_Cost]]*Table1[[#This Row],[Order_Quantity]]</f>
        <v>713</v>
      </c>
      <c r="Q326" s="4">
        <f>Table1[[#This Row],[total sales]]-Table1[[#This Row],[total cost]]</f>
        <v>407</v>
      </c>
      <c r="R326" s="6" t="s">
        <v>138</v>
      </c>
      <c r="S326" s="6" t="str">
        <f>_xlfn.CONCAT(Table1[[#This Row],[Sub_Category]],"-",Table1[[#This Row],[bike colour]])</f>
        <v>Mountain Bikes-black</v>
      </c>
    </row>
    <row r="327" spans="1:19" x14ac:dyDescent="0.3">
      <c r="A327" s="1">
        <v>44517</v>
      </c>
      <c r="B327">
        <v>17</v>
      </c>
      <c r="C327" t="s">
        <v>98</v>
      </c>
      <c r="D327">
        <v>2021</v>
      </c>
      <c r="E327">
        <v>34</v>
      </c>
      <c r="F327" t="s">
        <v>19</v>
      </c>
      <c r="G327" t="s">
        <v>120</v>
      </c>
      <c r="H327" t="s">
        <v>42</v>
      </c>
      <c r="I327" t="s">
        <v>86</v>
      </c>
      <c r="J327" t="s">
        <v>17</v>
      </c>
      <c r="K327" t="s">
        <v>41</v>
      </c>
      <c r="L327">
        <v>1</v>
      </c>
      <c r="M327" s="6">
        <v>713</v>
      </c>
      <c r="N327" s="6">
        <v>1120</v>
      </c>
      <c r="O327" s="6">
        <f>Table1[[#This Row],[Unit_Price]]*Table1[[#This Row],[Order_Quantity]]</f>
        <v>1120</v>
      </c>
      <c r="P327" s="6">
        <f>Table1[[#This Row],[Unit_Cost]]*Table1[[#This Row],[Order_Quantity]]</f>
        <v>713</v>
      </c>
      <c r="Q327" s="4">
        <f>Table1[[#This Row],[total sales]]-Table1[[#This Row],[total cost]]</f>
        <v>407</v>
      </c>
      <c r="R327" s="6" t="s">
        <v>138</v>
      </c>
      <c r="S327" s="6" t="str">
        <f>_xlfn.CONCAT(Table1[[#This Row],[Sub_Category]],"-",Table1[[#This Row],[bike colour]])</f>
        <v>Road Bikes-black</v>
      </c>
    </row>
    <row r="328" spans="1:19" x14ac:dyDescent="0.3">
      <c r="A328" s="1">
        <v>44517</v>
      </c>
      <c r="B328">
        <v>17</v>
      </c>
      <c r="C328" t="s">
        <v>98</v>
      </c>
      <c r="D328">
        <v>2021</v>
      </c>
      <c r="E328">
        <v>41</v>
      </c>
      <c r="F328" t="s">
        <v>14</v>
      </c>
      <c r="G328" t="s">
        <v>122</v>
      </c>
      <c r="H328" t="s">
        <v>15</v>
      </c>
      <c r="I328" t="s">
        <v>47</v>
      </c>
      <c r="J328" t="s">
        <v>17</v>
      </c>
      <c r="K328" t="s">
        <v>54</v>
      </c>
      <c r="L328">
        <v>1</v>
      </c>
      <c r="M328" s="6">
        <v>713</v>
      </c>
      <c r="N328" s="6">
        <v>1120</v>
      </c>
      <c r="O328" s="6">
        <f>Table1[[#This Row],[Unit_Price]]*Table1[[#This Row],[Order_Quantity]]</f>
        <v>1120</v>
      </c>
      <c r="P328" s="6">
        <f>Table1[[#This Row],[Unit_Cost]]*Table1[[#This Row],[Order_Quantity]]</f>
        <v>713</v>
      </c>
      <c r="Q328" s="4">
        <f>Table1[[#This Row],[total sales]]-Table1[[#This Row],[total cost]]</f>
        <v>407</v>
      </c>
      <c r="R328" s="6" t="s">
        <v>137</v>
      </c>
      <c r="S328" s="6" t="str">
        <f>_xlfn.CONCAT(Table1[[#This Row],[Sub_Category]],"-",Table1[[#This Row],[bike colour]])</f>
        <v>Road Bikes-red</v>
      </c>
    </row>
    <row r="329" spans="1:19" x14ac:dyDescent="0.3">
      <c r="A329" s="1">
        <v>44518</v>
      </c>
      <c r="B329">
        <v>18</v>
      </c>
      <c r="C329" t="s">
        <v>98</v>
      </c>
      <c r="D329">
        <v>2021</v>
      </c>
      <c r="E329">
        <v>17</v>
      </c>
      <c r="F329" t="s">
        <v>49</v>
      </c>
      <c r="G329" t="s">
        <v>122</v>
      </c>
      <c r="H329" t="s">
        <v>27</v>
      </c>
      <c r="I329" t="s">
        <v>33</v>
      </c>
      <c r="J329" t="s">
        <v>17</v>
      </c>
      <c r="K329" t="s">
        <v>99</v>
      </c>
      <c r="L329">
        <v>2</v>
      </c>
      <c r="M329" s="6">
        <v>713</v>
      </c>
      <c r="N329" s="6">
        <v>1120</v>
      </c>
      <c r="O329" s="6">
        <f>Table1[[#This Row],[Unit_Price]]*Table1[[#This Row],[Order_Quantity]]</f>
        <v>2240</v>
      </c>
      <c r="P329" s="6">
        <f>Table1[[#This Row],[Unit_Cost]]*Table1[[#This Row],[Order_Quantity]]</f>
        <v>1426</v>
      </c>
      <c r="Q329" s="4">
        <f>Table1[[#This Row],[total sales]]-Table1[[#This Row],[total cost]]</f>
        <v>814</v>
      </c>
      <c r="R329" s="6" t="s">
        <v>137</v>
      </c>
      <c r="S329" s="6" t="str">
        <f>_xlfn.CONCAT(Table1[[#This Row],[Sub_Category]],"-",Table1[[#This Row],[bike colour]])</f>
        <v>Road Bikes-red</v>
      </c>
    </row>
    <row r="330" spans="1:19" x14ac:dyDescent="0.3">
      <c r="A330" s="1">
        <v>44518</v>
      </c>
      <c r="B330">
        <v>18</v>
      </c>
      <c r="C330" t="s">
        <v>98</v>
      </c>
      <c r="D330">
        <v>2021</v>
      </c>
      <c r="E330">
        <v>17</v>
      </c>
      <c r="F330" t="s">
        <v>49</v>
      </c>
      <c r="G330" t="s">
        <v>122</v>
      </c>
      <c r="H330" t="s">
        <v>27</v>
      </c>
      <c r="I330" t="s">
        <v>28</v>
      </c>
      <c r="J330" t="s">
        <v>17</v>
      </c>
      <c r="K330" t="s">
        <v>102</v>
      </c>
      <c r="L330">
        <v>1</v>
      </c>
      <c r="M330" s="6">
        <v>713</v>
      </c>
      <c r="N330" s="6">
        <v>1120</v>
      </c>
      <c r="O330" s="6">
        <f>Table1[[#This Row],[Unit_Price]]*Table1[[#This Row],[Order_Quantity]]</f>
        <v>1120</v>
      </c>
      <c r="P330" s="6">
        <f>Table1[[#This Row],[Unit_Cost]]*Table1[[#This Row],[Order_Quantity]]</f>
        <v>713</v>
      </c>
      <c r="Q330" s="4">
        <f>Table1[[#This Row],[total sales]]-Table1[[#This Row],[total cost]]</f>
        <v>407</v>
      </c>
      <c r="R330" s="6" t="s">
        <v>137</v>
      </c>
      <c r="S330" s="6" t="str">
        <f>_xlfn.CONCAT(Table1[[#This Row],[Sub_Category]],"-",Table1[[#This Row],[bike colour]])</f>
        <v>Road Bikes-red</v>
      </c>
    </row>
    <row r="331" spans="1:19" x14ac:dyDescent="0.3">
      <c r="A331" s="1">
        <v>44518</v>
      </c>
      <c r="B331">
        <v>18</v>
      </c>
      <c r="C331" t="s">
        <v>98</v>
      </c>
      <c r="D331">
        <v>2021</v>
      </c>
      <c r="E331">
        <v>22</v>
      </c>
      <c r="F331" t="s">
        <v>49</v>
      </c>
      <c r="G331" t="s">
        <v>122</v>
      </c>
      <c r="H331" t="s">
        <v>27</v>
      </c>
      <c r="I331" t="s">
        <v>45</v>
      </c>
      <c r="J331" t="s">
        <v>17</v>
      </c>
      <c r="K331" t="s">
        <v>103</v>
      </c>
      <c r="L331">
        <v>1</v>
      </c>
      <c r="M331" s="6">
        <v>713</v>
      </c>
      <c r="N331" s="6">
        <v>1120</v>
      </c>
      <c r="O331" s="6">
        <f>Table1[[#This Row],[Unit_Price]]*Table1[[#This Row],[Order_Quantity]]</f>
        <v>1120</v>
      </c>
      <c r="P331" s="6">
        <f>Table1[[#This Row],[Unit_Cost]]*Table1[[#This Row],[Order_Quantity]]</f>
        <v>713</v>
      </c>
      <c r="Q331" s="4">
        <f>Table1[[#This Row],[total sales]]-Table1[[#This Row],[total cost]]</f>
        <v>407</v>
      </c>
      <c r="R331" s="6" t="s">
        <v>138</v>
      </c>
      <c r="S331" s="6" t="str">
        <f>_xlfn.CONCAT(Table1[[#This Row],[Sub_Category]],"-",Table1[[#This Row],[bike colour]])</f>
        <v>Road Bikes-black</v>
      </c>
    </row>
    <row r="332" spans="1:19" x14ac:dyDescent="0.3">
      <c r="A332" s="1">
        <v>44518</v>
      </c>
      <c r="B332">
        <v>18</v>
      </c>
      <c r="C332" t="s">
        <v>98</v>
      </c>
      <c r="D332">
        <v>2021</v>
      </c>
      <c r="E332">
        <v>23</v>
      </c>
      <c r="F332" t="s">
        <v>49</v>
      </c>
      <c r="G332" t="s">
        <v>120</v>
      </c>
      <c r="H332" t="s">
        <v>15</v>
      </c>
      <c r="I332" t="s">
        <v>16</v>
      </c>
      <c r="J332" t="s">
        <v>17</v>
      </c>
      <c r="K332" t="s">
        <v>81</v>
      </c>
      <c r="L332">
        <v>1</v>
      </c>
      <c r="M332" s="6">
        <v>713</v>
      </c>
      <c r="N332" s="6">
        <v>1120</v>
      </c>
      <c r="O332" s="6">
        <f>Table1[[#This Row],[Unit_Price]]*Table1[[#This Row],[Order_Quantity]]</f>
        <v>1120</v>
      </c>
      <c r="P332" s="6">
        <f>Table1[[#This Row],[Unit_Cost]]*Table1[[#This Row],[Order_Quantity]]</f>
        <v>713</v>
      </c>
      <c r="Q332" s="4">
        <f>Table1[[#This Row],[total sales]]-Table1[[#This Row],[total cost]]</f>
        <v>407</v>
      </c>
      <c r="R332" s="6" t="s">
        <v>136</v>
      </c>
      <c r="S332" s="6" t="str">
        <f>_xlfn.CONCAT(Table1[[#This Row],[Sub_Category]],"-",Table1[[#This Row],[bike colour]])</f>
        <v>Road Bikes-yellow</v>
      </c>
    </row>
    <row r="333" spans="1:19" x14ac:dyDescent="0.3">
      <c r="A333" s="1">
        <v>44518</v>
      </c>
      <c r="B333">
        <v>18</v>
      </c>
      <c r="C333" t="s">
        <v>98</v>
      </c>
      <c r="D333">
        <v>2021</v>
      </c>
      <c r="E333">
        <v>25</v>
      </c>
      <c r="F333" t="s">
        <v>19</v>
      </c>
      <c r="G333" t="s">
        <v>122</v>
      </c>
      <c r="H333" t="s">
        <v>27</v>
      </c>
      <c r="I333" t="s">
        <v>45</v>
      </c>
      <c r="J333" t="s">
        <v>17</v>
      </c>
      <c r="K333" t="s">
        <v>65</v>
      </c>
      <c r="L333">
        <v>1</v>
      </c>
      <c r="M333" s="6">
        <v>713</v>
      </c>
      <c r="N333" s="6">
        <v>1120</v>
      </c>
      <c r="O333" s="6">
        <f>Table1[[#This Row],[Unit_Price]]*Table1[[#This Row],[Order_Quantity]]</f>
        <v>1120</v>
      </c>
      <c r="P333" s="6">
        <f>Table1[[#This Row],[Unit_Cost]]*Table1[[#This Row],[Order_Quantity]]</f>
        <v>713</v>
      </c>
      <c r="Q333" s="4">
        <f>Table1[[#This Row],[total sales]]-Table1[[#This Row],[total cost]]</f>
        <v>407</v>
      </c>
      <c r="R333" s="6" t="s">
        <v>136</v>
      </c>
      <c r="S333" s="6" t="str">
        <f>_xlfn.CONCAT(Table1[[#This Row],[Sub_Category]],"-",Table1[[#This Row],[bike colour]])</f>
        <v>Road Bikes-yellow</v>
      </c>
    </row>
    <row r="334" spans="1:19" x14ac:dyDescent="0.3">
      <c r="A334" s="1">
        <v>44518</v>
      </c>
      <c r="B334">
        <v>18</v>
      </c>
      <c r="C334" t="s">
        <v>98</v>
      </c>
      <c r="D334">
        <v>2021</v>
      </c>
      <c r="E334">
        <v>27</v>
      </c>
      <c r="F334" t="s">
        <v>19</v>
      </c>
      <c r="G334" t="s">
        <v>122</v>
      </c>
      <c r="H334" t="s">
        <v>50</v>
      </c>
      <c r="I334" t="s">
        <v>94</v>
      </c>
      <c r="J334" t="s">
        <v>17</v>
      </c>
      <c r="K334" t="s">
        <v>65</v>
      </c>
      <c r="L334">
        <v>1</v>
      </c>
      <c r="M334" s="6">
        <v>713</v>
      </c>
      <c r="N334" s="6">
        <v>1120</v>
      </c>
      <c r="O334" s="6">
        <f>Table1[[#This Row],[Unit_Price]]*Table1[[#This Row],[Order_Quantity]]</f>
        <v>1120</v>
      </c>
      <c r="P334" s="6">
        <f>Table1[[#This Row],[Unit_Cost]]*Table1[[#This Row],[Order_Quantity]]</f>
        <v>713</v>
      </c>
      <c r="Q334" s="4">
        <f>Table1[[#This Row],[total sales]]-Table1[[#This Row],[total cost]]</f>
        <v>407</v>
      </c>
      <c r="R334" s="6" t="s">
        <v>136</v>
      </c>
      <c r="S334" s="6" t="str">
        <f>_xlfn.CONCAT(Table1[[#This Row],[Sub_Category]],"-",Table1[[#This Row],[bike colour]])</f>
        <v>Road Bikes-yellow</v>
      </c>
    </row>
    <row r="335" spans="1:19" x14ac:dyDescent="0.3">
      <c r="A335" s="1">
        <v>44518</v>
      </c>
      <c r="B335">
        <v>18</v>
      </c>
      <c r="C335" t="s">
        <v>98</v>
      </c>
      <c r="D335">
        <v>2021</v>
      </c>
      <c r="E335">
        <v>49</v>
      </c>
      <c r="F335" t="s">
        <v>14</v>
      </c>
      <c r="G335" t="s">
        <v>120</v>
      </c>
      <c r="H335" t="s">
        <v>15</v>
      </c>
      <c r="I335" t="s">
        <v>16</v>
      </c>
      <c r="J335" t="s">
        <v>25</v>
      </c>
      <c r="K335" t="s">
        <v>61</v>
      </c>
      <c r="L335">
        <v>1</v>
      </c>
      <c r="M335" s="6">
        <v>713</v>
      </c>
      <c r="N335" s="6">
        <v>1120</v>
      </c>
      <c r="O335" s="6">
        <f>Table1[[#This Row],[Unit_Price]]*Table1[[#This Row],[Order_Quantity]]</f>
        <v>1120</v>
      </c>
      <c r="P335" s="6">
        <f>Table1[[#This Row],[Unit_Cost]]*Table1[[#This Row],[Order_Quantity]]</f>
        <v>713</v>
      </c>
      <c r="Q335" s="4">
        <f>Table1[[#This Row],[total sales]]-Table1[[#This Row],[total cost]]</f>
        <v>407</v>
      </c>
      <c r="R335" s="6" t="s">
        <v>138</v>
      </c>
      <c r="S335" s="6" t="str">
        <f>_xlfn.CONCAT(Table1[[#This Row],[Sub_Category]],"-",Table1[[#This Row],[bike colour]])</f>
        <v>Mountain Bikes-black</v>
      </c>
    </row>
    <row r="336" spans="1:19" x14ac:dyDescent="0.3">
      <c r="A336" s="1">
        <v>44519</v>
      </c>
      <c r="B336">
        <v>19</v>
      </c>
      <c r="C336" t="s">
        <v>98</v>
      </c>
      <c r="D336">
        <v>2021</v>
      </c>
      <c r="E336">
        <v>33</v>
      </c>
      <c r="F336" t="s">
        <v>19</v>
      </c>
      <c r="G336" t="s">
        <v>122</v>
      </c>
      <c r="H336" t="s">
        <v>15</v>
      </c>
      <c r="I336" t="s">
        <v>16</v>
      </c>
      <c r="J336" t="s">
        <v>25</v>
      </c>
      <c r="K336" t="s">
        <v>56</v>
      </c>
      <c r="L336">
        <v>4</v>
      </c>
      <c r="M336" s="6">
        <v>713</v>
      </c>
      <c r="N336" s="6">
        <v>1120</v>
      </c>
      <c r="O336" s="6">
        <f>Table1[[#This Row],[Unit_Price]]*Table1[[#This Row],[Order_Quantity]]</f>
        <v>4480</v>
      </c>
      <c r="P336" s="6">
        <f>Table1[[#This Row],[Unit_Cost]]*Table1[[#This Row],[Order_Quantity]]</f>
        <v>2852</v>
      </c>
      <c r="Q336" s="4">
        <f>Table1[[#This Row],[total sales]]-Table1[[#This Row],[total cost]]</f>
        <v>1628</v>
      </c>
      <c r="R336" s="6" t="s">
        <v>139</v>
      </c>
      <c r="S336" s="6" t="str">
        <f>_xlfn.CONCAT(Table1[[#This Row],[Sub_Category]],"-",Table1[[#This Row],[bike colour]])</f>
        <v>Mountain Bikes-silver</v>
      </c>
    </row>
    <row r="337" spans="1:19" x14ac:dyDescent="0.3">
      <c r="A337" s="1">
        <v>44519</v>
      </c>
      <c r="B337">
        <v>19</v>
      </c>
      <c r="C337" t="s">
        <v>98</v>
      </c>
      <c r="D337">
        <v>2021</v>
      </c>
      <c r="E337">
        <v>30</v>
      </c>
      <c r="F337" t="s">
        <v>19</v>
      </c>
      <c r="G337" t="s">
        <v>122</v>
      </c>
      <c r="H337" t="s">
        <v>15</v>
      </c>
      <c r="I337" t="s">
        <v>47</v>
      </c>
      <c r="J337" t="s">
        <v>25</v>
      </c>
      <c r="K337" t="s">
        <v>31</v>
      </c>
      <c r="L337">
        <v>2</v>
      </c>
      <c r="M337" s="6">
        <v>713</v>
      </c>
      <c r="N337" s="6">
        <v>1120</v>
      </c>
      <c r="O337" s="6">
        <f>Table1[[#This Row],[Unit_Price]]*Table1[[#This Row],[Order_Quantity]]</f>
        <v>2240</v>
      </c>
      <c r="P337" s="6">
        <f>Table1[[#This Row],[Unit_Cost]]*Table1[[#This Row],[Order_Quantity]]</f>
        <v>1426</v>
      </c>
      <c r="Q337" s="4">
        <f>Table1[[#This Row],[total sales]]-Table1[[#This Row],[total cost]]</f>
        <v>814</v>
      </c>
      <c r="R337" s="6" t="s">
        <v>139</v>
      </c>
      <c r="S337" s="6" t="str">
        <f>_xlfn.CONCAT(Table1[[#This Row],[Sub_Category]],"-",Table1[[#This Row],[bike colour]])</f>
        <v>Mountain Bikes-silver</v>
      </c>
    </row>
    <row r="338" spans="1:19" x14ac:dyDescent="0.3">
      <c r="A338" s="1">
        <v>44519</v>
      </c>
      <c r="B338">
        <v>19</v>
      </c>
      <c r="C338" t="s">
        <v>98</v>
      </c>
      <c r="D338">
        <v>2021</v>
      </c>
      <c r="E338">
        <v>44</v>
      </c>
      <c r="F338" t="s">
        <v>14</v>
      </c>
      <c r="G338" t="s">
        <v>120</v>
      </c>
      <c r="H338" t="s">
        <v>42</v>
      </c>
      <c r="I338" t="s">
        <v>86</v>
      </c>
      <c r="J338" t="s">
        <v>17</v>
      </c>
      <c r="K338" t="s">
        <v>88</v>
      </c>
      <c r="L338">
        <v>1</v>
      </c>
      <c r="M338" s="6">
        <v>713</v>
      </c>
      <c r="N338" s="6">
        <v>1120</v>
      </c>
      <c r="O338" s="6">
        <f>Table1[[#This Row],[Unit_Price]]*Table1[[#This Row],[Order_Quantity]]</f>
        <v>1120</v>
      </c>
      <c r="P338" s="6">
        <f>Table1[[#This Row],[Unit_Cost]]*Table1[[#This Row],[Order_Quantity]]</f>
        <v>713</v>
      </c>
      <c r="Q338" s="4">
        <f>Table1[[#This Row],[total sales]]-Table1[[#This Row],[total cost]]</f>
        <v>407</v>
      </c>
      <c r="R338" s="6" t="s">
        <v>137</v>
      </c>
      <c r="S338" s="6" t="str">
        <f>_xlfn.CONCAT(Table1[[#This Row],[Sub_Category]],"-",Table1[[#This Row],[bike colour]])</f>
        <v>Road Bikes-red</v>
      </c>
    </row>
    <row r="339" spans="1:19" x14ac:dyDescent="0.3">
      <c r="A339" s="1">
        <v>44519</v>
      </c>
      <c r="B339">
        <v>19</v>
      </c>
      <c r="C339" t="s">
        <v>98</v>
      </c>
      <c r="D339">
        <v>2021</v>
      </c>
      <c r="E339">
        <v>45</v>
      </c>
      <c r="F339" t="s">
        <v>14</v>
      </c>
      <c r="G339" t="s">
        <v>122</v>
      </c>
      <c r="H339" t="s">
        <v>23</v>
      </c>
      <c r="I339" t="s">
        <v>24</v>
      </c>
      <c r="J339" t="s">
        <v>17</v>
      </c>
      <c r="K339" t="s">
        <v>100</v>
      </c>
      <c r="L339">
        <v>1</v>
      </c>
      <c r="M339" s="6">
        <v>713</v>
      </c>
      <c r="N339" s="6">
        <v>1120</v>
      </c>
      <c r="O339" s="6">
        <f>Table1[[#This Row],[Unit_Price]]*Table1[[#This Row],[Order_Quantity]]</f>
        <v>1120</v>
      </c>
      <c r="P339" s="6">
        <f>Table1[[#This Row],[Unit_Cost]]*Table1[[#This Row],[Order_Quantity]]</f>
        <v>713</v>
      </c>
      <c r="Q339" s="4">
        <f>Table1[[#This Row],[total sales]]-Table1[[#This Row],[total cost]]</f>
        <v>407</v>
      </c>
      <c r="R339" s="6" t="s">
        <v>138</v>
      </c>
      <c r="S339" s="6" t="str">
        <f>_xlfn.CONCAT(Table1[[#This Row],[Sub_Category]],"-",Table1[[#This Row],[bike colour]])</f>
        <v>Road Bikes-black</v>
      </c>
    </row>
    <row r="340" spans="1:19" x14ac:dyDescent="0.3">
      <c r="A340" s="1">
        <v>44520</v>
      </c>
      <c r="B340">
        <v>20</v>
      </c>
      <c r="C340" t="s">
        <v>98</v>
      </c>
      <c r="D340">
        <v>2021</v>
      </c>
      <c r="E340">
        <v>40</v>
      </c>
      <c r="F340" t="s">
        <v>14</v>
      </c>
      <c r="G340" t="s">
        <v>120</v>
      </c>
      <c r="H340" t="s">
        <v>42</v>
      </c>
      <c r="I340" t="s">
        <v>74</v>
      </c>
      <c r="J340" t="s">
        <v>25</v>
      </c>
      <c r="K340" t="s">
        <v>56</v>
      </c>
      <c r="L340">
        <v>4</v>
      </c>
      <c r="M340" s="6">
        <v>713</v>
      </c>
      <c r="N340" s="6">
        <v>1120</v>
      </c>
      <c r="O340" s="6">
        <f>Table1[[#This Row],[Unit_Price]]*Table1[[#This Row],[Order_Quantity]]</f>
        <v>4480</v>
      </c>
      <c r="P340" s="6">
        <f>Table1[[#This Row],[Unit_Cost]]*Table1[[#This Row],[Order_Quantity]]</f>
        <v>2852</v>
      </c>
      <c r="Q340" s="4">
        <f>Table1[[#This Row],[total sales]]-Table1[[#This Row],[total cost]]</f>
        <v>1628</v>
      </c>
      <c r="R340" s="6" t="s">
        <v>139</v>
      </c>
      <c r="S340" s="6" t="str">
        <f>_xlfn.CONCAT(Table1[[#This Row],[Sub_Category]],"-",Table1[[#This Row],[bike colour]])</f>
        <v>Mountain Bikes-silver</v>
      </c>
    </row>
    <row r="341" spans="1:19" x14ac:dyDescent="0.3">
      <c r="A341" s="1">
        <v>44520</v>
      </c>
      <c r="B341">
        <v>20</v>
      </c>
      <c r="C341" t="s">
        <v>98</v>
      </c>
      <c r="D341">
        <v>2021</v>
      </c>
      <c r="E341">
        <v>40</v>
      </c>
      <c r="F341" t="s">
        <v>14</v>
      </c>
      <c r="G341" t="s">
        <v>120</v>
      </c>
      <c r="H341" t="s">
        <v>27</v>
      </c>
      <c r="I341" t="s">
        <v>28</v>
      </c>
      <c r="J341" t="s">
        <v>17</v>
      </c>
      <c r="K341" t="s">
        <v>29</v>
      </c>
      <c r="L341">
        <v>4</v>
      </c>
      <c r="M341" s="6">
        <v>713</v>
      </c>
      <c r="N341" s="6">
        <v>1120</v>
      </c>
      <c r="O341" s="6">
        <f>Table1[[#This Row],[Unit_Price]]*Table1[[#This Row],[Order_Quantity]]</f>
        <v>4480</v>
      </c>
      <c r="P341" s="6">
        <f>Table1[[#This Row],[Unit_Cost]]*Table1[[#This Row],[Order_Quantity]]</f>
        <v>2852</v>
      </c>
      <c r="Q341" s="4">
        <f>Table1[[#This Row],[total sales]]-Table1[[#This Row],[total cost]]</f>
        <v>1628</v>
      </c>
      <c r="R341" s="6" t="s">
        <v>136</v>
      </c>
      <c r="S341" s="6" t="str">
        <f>_xlfn.CONCAT(Table1[[#This Row],[Sub_Category]],"-",Table1[[#This Row],[bike colour]])</f>
        <v>Road Bikes-yellow</v>
      </c>
    </row>
    <row r="342" spans="1:19" x14ac:dyDescent="0.3">
      <c r="A342" s="1">
        <v>44520</v>
      </c>
      <c r="B342">
        <v>20</v>
      </c>
      <c r="C342" t="s">
        <v>98</v>
      </c>
      <c r="D342">
        <v>2021</v>
      </c>
      <c r="E342">
        <v>41</v>
      </c>
      <c r="F342" t="s">
        <v>14</v>
      </c>
      <c r="G342" t="s">
        <v>122</v>
      </c>
      <c r="H342" t="s">
        <v>15</v>
      </c>
      <c r="I342" t="s">
        <v>47</v>
      </c>
      <c r="J342" t="s">
        <v>17</v>
      </c>
      <c r="K342" t="s">
        <v>54</v>
      </c>
      <c r="L342">
        <v>3</v>
      </c>
      <c r="M342" s="6">
        <v>713</v>
      </c>
      <c r="N342" s="6">
        <v>1120</v>
      </c>
      <c r="O342" s="6">
        <f>Table1[[#This Row],[Unit_Price]]*Table1[[#This Row],[Order_Quantity]]</f>
        <v>3360</v>
      </c>
      <c r="P342" s="6">
        <f>Table1[[#This Row],[Unit_Cost]]*Table1[[#This Row],[Order_Quantity]]</f>
        <v>2139</v>
      </c>
      <c r="Q342" s="4">
        <f>Table1[[#This Row],[total sales]]-Table1[[#This Row],[total cost]]</f>
        <v>1221</v>
      </c>
      <c r="R342" s="6" t="s">
        <v>137</v>
      </c>
      <c r="S342" s="6" t="str">
        <f>_xlfn.CONCAT(Table1[[#This Row],[Sub_Category]],"-",Table1[[#This Row],[bike colour]])</f>
        <v>Road Bikes-red</v>
      </c>
    </row>
    <row r="343" spans="1:19" x14ac:dyDescent="0.3">
      <c r="A343" s="1">
        <v>44520</v>
      </c>
      <c r="B343">
        <v>20</v>
      </c>
      <c r="C343" t="s">
        <v>98</v>
      </c>
      <c r="D343">
        <v>2021</v>
      </c>
      <c r="E343">
        <v>48</v>
      </c>
      <c r="F343" t="s">
        <v>14</v>
      </c>
      <c r="G343" t="s">
        <v>122</v>
      </c>
      <c r="H343" t="s">
        <v>15</v>
      </c>
      <c r="I343" t="s">
        <v>47</v>
      </c>
      <c r="J343" t="s">
        <v>25</v>
      </c>
      <c r="K343" t="s">
        <v>62</v>
      </c>
      <c r="L343">
        <v>3</v>
      </c>
      <c r="M343" s="6">
        <v>713</v>
      </c>
      <c r="N343" s="6">
        <v>1120</v>
      </c>
      <c r="O343" s="6">
        <f>Table1[[#This Row],[Unit_Price]]*Table1[[#This Row],[Order_Quantity]]</f>
        <v>3360</v>
      </c>
      <c r="P343" s="6">
        <f>Table1[[#This Row],[Unit_Cost]]*Table1[[#This Row],[Order_Quantity]]</f>
        <v>2139</v>
      </c>
      <c r="Q343" s="4">
        <f>Table1[[#This Row],[total sales]]-Table1[[#This Row],[total cost]]</f>
        <v>1221</v>
      </c>
      <c r="R343" s="6" t="s">
        <v>139</v>
      </c>
      <c r="S343" s="6" t="str">
        <f>_xlfn.CONCAT(Table1[[#This Row],[Sub_Category]],"-",Table1[[#This Row],[bike colour]])</f>
        <v>Mountain Bikes-silver</v>
      </c>
    </row>
    <row r="344" spans="1:19" x14ac:dyDescent="0.3">
      <c r="A344" s="1">
        <v>44520</v>
      </c>
      <c r="B344">
        <v>20</v>
      </c>
      <c r="C344" t="s">
        <v>98</v>
      </c>
      <c r="D344">
        <v>2021</v>
      </c>
      <c r="E344">
        <v>38</v>
      </c>
      <c r="F344" t="s">
        <v>14</v>
      </c>
      <c r="G344" t="s">
        <v>120</v>
      </c>
      <c r="H344" t="s">
        <v>27</v>
      </c>
      <c r="I344" t="s">
        <v>28</v>
      </c>
      <c r="J344" t="s">
        <v>25</v>
      </c>
      <c r="K344" t="s">
        <v>26</v>
      </c>
      <c r="L344">
        <v>2</v>
      </c>
      <c r="M344" s="6">
        <v>713</v>
      </c>
      <c r="N344" s="6">
        <v>1120</v>
      </c>
      <c r="O344" s="6">
        <f>Table1[[#This Row],[Unit_Price]]*Table1[[#This Row],[Order_Quantity]]</f>
        <v>2240</v>
      </c>
      <c r="P344" s="6">
        <f>Table1[[#This Row],[Unit_Cost]]*Table1[[#This Row],[Order_Quantity]]</f>
        <v>1426</v>
      </c>
      <c r="Q344" s="4">
        <f>Table1[[#This Row],[total sales]]-Table1[[#This Row],[total cost]]</f>
        <v>814</v>
      </c>
      <c r="R344" s="6" t="s">
        <v>138</v>
      </c>
      <c r="S344" s="6" t="str">
        <f>_xlfn.CONCAT(Table1[[#This Row],[Sub_Category]],"-",Table1[[#This Row],[bike colour]])</f>
        <v>Mountain Bikes-black</v>
      </c>
    </row>
    <row r="345" spans="1:19" x14ac:dyDescent="0.3">
      <c r="A345" s="1">
        <v>44520</v>
      </c>
      <c r="B345">
        <v>20</v>
      </c>
      <c r="C345" t="s">
        <v>98</v>
      </c>
      <c r="D345">
        <v>2021</v>
      </c>
      <c r="E345">
        <v>18</v>
      </c>
      <c r="F345" t="s">
        <v>49</v>
      </c>
      <c r="G345" t="s">
        <v>120</v>
      </c>
      <c r="H345" t="s">
        <v>27</v>
      </c>
      <c r="I345" t="s">
        <v>33</v>
      </c>
      <c r="J345" t="s">
        <v>17</v>
      </c>
      <c r="K345" t="s">
        <v>73</v>
      </c>
      <c r="L345">
        <v>1</v>
      </c>
      <c r="M345" s="6">
        <v>713</v>
      </c>
      <c r="N345" s="6">
        <v>1120</v>
      </c>
      <c r="O345" s="6">
        <f>Table1[[#This Row],[Unit_Price]]*Table1[[#This Row],[Order_Quantity]]</f>
        <v>1120</v>
      </c>
      <c r="P345" s="6">
        <f>Table1[[#This Row],[Unit_Cost]]*Table1[[#This Row],[Order_Quantity]]</f>
        <v>713</v>
      </c>
      <c r="Q345" s="4">
        <f>Table1[[#This Row],[total sales]]-Table1[[#This Row],[total cost]]</f>
        <v>407</v>
      </c>
      <c r="R345" s="6" t="s">
        <v>138</v>
      </c>
      <c r="S345" s="6" t="str">
        <f>_xlfn.CONCAT(Table1[[#This Row],[Sub_Category]],"-",Table1[[#This Row],[bike colour]])</f>
        <v>Road Bikes-black</v>
      </c>
    </row>
    <row r="346" spans="1:19" x14ac:dyDescent="0.3">
      <c r="A346" s="1">
        <v>44520</v>
      </c>
      <c r="B346">
        <v>20</v>
      </c>
      <c r="C346" t="s">
        <v>98</v>
      </c>
      <c r="D346">
        <v>2021</v>
      </c>
      <c r="E346">
        <v>27</v>
      </c>
      <c r="F346" t="s">
        <v>19</v>
      </c>
      <c r="G346" t="s">
        <v>122</v>
      </c>
      <c r="H346" t="s">
        <v>27</v>
      </c>
      <c r="I346" t="s">
        <v>28</v>
      </c>
      <c r="J346" t="s">
        <v>17</v>
      </c>
      <c r="K346" t="s">
        <v>40</v>
      </c>
      <c r="L346">
        <v>1</v>
      </c>
      <c r="M346" s="6">
        <v>713</v>
      </c>
      <c r="N346" s="6">
        <v>1120</v>
      </c>
      <c r="O346" s="6">
        <f>Table1[[#This Row],[Unit_Price]]*Table1[[#This Row],[Order_Quantity]]</f>
        <v>1120</v>
      </c>
      <c r="P346" s="6">
        <f>Table1[[#This Row],[Unit_Cost]]*Table1[[#This Row],[Order_Quantity]]</f>
        <v>713</v>
      </c>
      <c r="Q346" s="4">
        <f>Table1[[#This Row],[total sales]]-Table1[[#This Row],[total cost]]</f>
        <v>407</v>
      </c>
      <c r="R346" s="6" t="s">
        <v>138</v>
      </c>
      <c r="S346" s="6" t="str">
        <f>_xlfn.CONCAT(Table1[[#This Row],[Sub_Category]],"-",Table1[[#This Row],[bike colour]])</f>
        <v>Road Bikes-black</v>
      </c>
    </row>
    <row r="347" spans="1:19" x14ac:dyDescent="0.3">
      <c r="A347" s="1">
        <v>44520</v>
      </c>
      <c r="B347">
        <v>20</v>
      </c>
      <c r="C347" t="s">
        <v>98</v>
      </c>
      <c r="D347">
        <v>2021</v>
      </c>
      <c r="E347">
        <v>29</v>
      </c>
      <c r="F347" t="s">
        <v>19</v>
      </c>
      <c r="G347" t="s">
        <v>122</v>
      </c>
      <c r="H347" t="s">
        <v>15</v>
      </c>
      <c r="I347" t="s">
        <v>16</v>
      </c>
      <c r="J347" t="s">
        <v>25</v>
      </c>
      <c r="K347" t="s">
        <v>26</v>
      </c>
      <c r="L347">
        <v>1</v>
      </c>
      <c r="M347" s="6">
        <v>713</v>
      </c>
      <c r="N347" s="6">
        <v>1120</v>
      </c>
      <c r="O347" s="6">
        <f>Table1[[#This Row],[Unit_Price]]*Table1[[#This Row],[Order_Quantity]]</f>
        <v>1120</v>
      </c>
      <c r="P347" s="6">
        <f>Table1[[#This Row],[Unit_Cost]]*Table1[[#This Row],[Order_Quantity]]</f>
        <v>713</v>
      </c>
      <c r="Q347" s="4">
        <f>Table1[[#This Row],[total sales]]-Table1[[#This Row],[total cost]]</f>
        <v>407</v>
      </c>
      <c r="R347" s="6" t="s">
        <v>138</v>
      </c>
      <c r="S347" s="6" t="str">
        <f>_xlfn.CONCAT(Table1[[#This Row],[Sub_Category]],"-",Table1[[#This Row],[bike colour]])</f>
        <v>Mountain Bikes-black</v>
      </c>
    </row>
    <row r="348" spans="1:19" x14ac:dyDescent="0.3">
      <c r="A348" s="1">
        <v>44520</v>
      </c>
      <c r="B348">
        <v>20</v>
      </c>
      <c r="C348" t="s">
        <v>98</v>
      </c>
      <c r="D348">
        <v>2021</v>
      </c>
      <c r="E348">
        <v>39</v>
      </c>
      <c r="F348" t="s">
        <v>14</v>
      </c>
      <c r="G348" t="s">
        <v>120</v>
      </c>
      <c r="H348" t="s">
        <v>42</v>
      </c>
      <c r="I348" t="s">
        <v>68</v>
      </c>
      <c r="J348" t="s">
        <v>25</v>
      </c>
      <c r="K348" t="s">
        <v>31</v>
      </c>
      <c r="L348">
        <v>1</v>
      </c>
      <c r="M348" s="6">
        <v>713</v>
      </c>
      <c r="N348" s="6">
        <v>1120</v>
      </c>
      <c r="O348" s="6">
        <f>Table1[[#This Row],[Unit_Price]]*Table1[[#This Row],[Order_Quantity]]</f>
        <v>1120</v>
      </c>
      <c r="P348" s="6">
        <f>Table1[[#This Row],[Unit_Cost]]*Table1[[#This Row],[Order_Quantity]]</f>
        <v>713</v>
      </c>
      <c r="Q348" s="4">
        <f>Table1[[#This Row],[total sales]]-Table1[[#This Row],[total cost]]</f>
        <v>407</v>
      </c>
      <c r="R348" s="6" t="s">
        <v>139</v>
      </c>
      <c r="S348" s="6" t="str">
        <f>_xlfn.CONCAT(Table1[[#This Row],[Sub_Category]],"-",Table1[[#This Row],[bike colour]])</f>
        <v>Mountain Bikes-silver</v>
      </c>
    </row>
    <row r="349" spans="1:19" x14ac:dyDescent="0.3">
      <c r="A349" s="1">
        <v>44521</v>
      </c>
      <c r="B349">
        <v>21</v>
      </c>
      <c r="C349" t="s">
        <v>98</v>
      </c>
      <c r="D349">
        <v>2021</v>
      </c>
      <c r="E349">
        <v>32</v>
      </c>
      <c r="F349" t="s">
        <v>19</v>
      </c>
      <c r="G349" t="s">
        <v>120</v>
      </c>
      <c r="H349" t="s">
        <v>42</v>
      </c>
      <c r="I349" t="s">
        <v>68</v>
      </c>
      <c r="J349" t="s">
        <v>17</v>
      </c>
      <c r="K349" t="s">
        <v>35</v>
      </c>
      <c r="L349">
        <v>4</v>
      </c>
      <c r="M349" s="6">
        <v>713</v>
      </c>
      <c r="N349" s="6">
        <v>1120</v>
      </c>
      <c r="O349" s="6">
        <f>Table1[[#This Row],[Unit_Price]]*Table1[[#This Row],[Order_Quantity]]</f>
        <v>4480</v>
      </c>
      <c r="P349" s="6">
        <f>Table1[[#This Row],[Unit_Cost]]*Table1[[#This Row],[Order_Quantity]]</f>
        <v>2852</v>
      </c>
      <c r="Q349" s="4">
        <f>Table1[[#This Row],[total sales]]-Table1[[#This Row],[total cost]]</f>
        <v>1628</v>
      </c>
      <c r="R349" s="6" t="s">
        <v>137</v>
      </c>
      <c r="S349" s="6" t="str">
        <f>_xlfn.CONCAT(Table1[[#This Row],[Sub_Category]],"-",Table1[[#This Row],[bike colour]])</f>
        <v>Road Bikes-red</v>
      </c>
    </row>
    <row r="350" spans="1:19" x14ac:dyDescent="0.3">
      <c r="A350" s="1">
        <v>44521</v>
      </c>
      <c r="B350">
        <v>21</v>
      </c>
      <c r="C350" t="s">
        <v>98</v>
      </c>
      <c r="D350">
        <v>2021</v>
      </c>
      <c r="E350">
        <v>35</v>
      </c>
      <c r="F350" t="s">
        <v>14</v>
      </c>
      <c r="G350" t="s">
        <v>122</v>
      </c>
      <c r="H350" t="s">
        <v>15</v>
      </c>
      <c r="I350" t="s">
        <v>47</v>
      </c>
      <c r="J350" t="s">
        <v>17</v>
      </c>
      <c r="K350" t="s">
        <v>79</v>
      </c>
      <c r="L350">
        <v>4</v>
      </c>
      <c r="M350" s="6">
        <v>713</v>
      </c>
      <c r="N350" s="6">
        <v>1120</v>
      </c>
      <c r="O350" s="6">
        <f>Table1[[#This Row],[Unit_Price]]*Table1[[#This Row],[Order_Quantity]]</f>
        <v>4480</v>
      </c>
      <c r="P350" s="6">
        <f>Table1[[#This Row],[Unit_Cost]]*Table1[[#This Row],[Order_Quantity]]</f>
        <v>2852</v>
      </c>
      <c r="Q350" s="4">
        <f>Table1[[#This Row],[total sales]]-Table1[[#This Row],[total cost]]</f>
        <v>1628</v>
      </c>
      <c r="R350" s="6" t="s">
        <v>137</v>
      </c>
      <c r="S350" s="6" t="str">
        <f>_xlfn.CONCAT(Table1[[#This Row],[Sub_Category]],"-",Table1[[#This Row],[bike colour]])</f>
        <v>Road Bikes-red</v>
      </c>
    </row>
    <row r="351" spans="1:19" x14ac:dyDescent="0.3">
      <c r="A351" s="1">
        <v>44521</v>
      </c>
      <c r="B351">
        <v>21</v>
      </c>
      <c r="C351" t="s">
        <v>98</v>
      </c>
      <c r="D351">
        <v>2021</v>
      </c>
      <c r="E351">
        <v>25</v>
      </c>
      <c r="F351" t="s">
        <v>19</v>
      </c>
      <c r="G351" t="s">
        <v>122</v>
      </c>
      <c r="H351" t="s">
        <v>42</v>
      </c>
      <c r="I351" t="s">
        <v>86</v>
      </c>
      <c r="J351" t="s">
        <v>17</v>
      </c>
      <c r="K351" t="s">
        <v>29</v>
      </c>
      <c r="L351">
        <v>2</v>
      </c>
      <c r="M351" s="6">
        <v>713</v>
      </c>
      <c r="N351" s="6">
        <v>1120</v>
      </c>
      <c r="O351" s="6">
        <f>Table1[[#This Row],[Unit_Price]]*Table1[[#This Row],[Order_Quantity]]</f>
        <v>2240</v>
      </c>
      <c r="P351" s="6">
        <f>Table1[[#This Row],[Unit_Cost]]*Table1[[#This Row],[Order_Quantity]]</f>
        <v>1426</v>
      </c>
      <c r="Q351" s="4">
        <f>Table1[[#This Row],[total sales]]-Table1[[#This Row],[total cost]]</f>
        <v>814</v>
      </c>
      <c r="R351" s="6" t="s">
        <v>136</v>
      </c>
      <c r="S351" s="6" t="str">
        <f>_xlfn.CONCAT(Table1[[#This Row],[Sub_Category]],"-",Table1[[#This Row],[bike colour]])</f>
        <v>Road Bikes-yellow</v>
      </c>
    </row>
    <row r="352" spans="1:19" x14ac:dyDescent="0.3">
      <c r="A352" s="1">
        <v>44521</v>
      </c>
      <c r="B352">
        <v>21</v>
      </c>
      <c r="C352" t="s">
        <v>98</v>
      </c>
      <c r="D352">
        <v>2021</v>
      </c>
      <c r="E352">
        <v>29</v>
      </c>
      <c r="F352" t="s">
        <v>19</v>
      </c>
      <c r="G352" t="s">
        <v>122</v>
      </c>
      <c r="H352" t="s">
        <v>23</v>
      </c>
      <c r="I352" t="s">
        <v>24</v>
      </c>
      <c r="J352" t="s">
        <v>25</v>
      </c>
      <c r="K352" t="s">
        <v>26</v>
      </c>
      <c r="L352">
        <v>2</v>
      </c>
      <c r="M352" s="6">
        <v>713</v>
      </c>
      <c r="N352" s="6">
        <v>1120</v>
      </c>
      <c r="O352" s="6">
        <f>Table1[[#This Row],[Unit_Price]]*Table1[[#This Row],[Order_Quantity]]</f>
        <v>2240</v>
      </c>
      <c r="P352" s="6">
        <f>Table1[[#This Row],[Unit_Cost]]*Table1[[#This Row],[Order_Quantity]]</f>
        <v>1426</v>
      </c>
      <c r="Q352" s="4">
        <f>Table1[[#This Row],[total sales]]-Table1[[#This Row],[total cost]]</f>
        <v>814</v>
      </c>
      <c r="R352" s="6" t="s">
        <v>138</v>
      </c>
      <c r="S352" s="6" t="str">
        <f>_xlfn.CONCAT(Table1[[#This Row],[Sub_Category]],"-",Table1[[#This Row],[bike colour]])</f>
        <v>Mountain Bikes-black</v>
      </c>
    </row>
    <row r="353" spans="1:19" x14ac:dyDescent="0.3">
      <c r="A353" s="1">
        <v>44521</v>
      </c>
      <c r="B353">
        <v>21</v>
      </c>
      <c r="C353" t="s">
        <v>98</v>
      </c>
      <c r="D353">
        <v>2021</v>
      </c>
      <c r="E353">
        <v>52</v>
      </c>
      <c r="F353" t="s">
        <v>14</v>
      </c>
      <c r="G353" t="s">
        <v>120</v>
      </c>
      <c r="H353" t="s">
        <v>20</v>
      </c>
      <c r="I353" t="s">
        <v>21</v>
      </c>
      <c r="J353" t="s">
        <v>17</v>
      </c>
      <c r="K353" t="s">
        <v>91</v>
      </c>
      <c r="L353">
        <v>2</v>
      </c>
      <c r="M353" s="6">
        <v>713</v>
      </c>
      <c r="N353" s="6">
        <v>1120</v>
      </c>
      <c r="O353" s="6">
        <f>Table1[[#This Row],[Unit_Price]]*Table1[[#This Row],[Order_Quantity]]</f>
        <v>2240</v>
      </c>
      <c r="P353" s="6">
        <f>Table1[[#This Row],[Unit_Cost]]*Table1[[#This Row],[Order_Quantity]]</f>
        <v>1426</v>
      </c>
      <c r="Q353" s="4">
        <f>Table1[[#This Row],[total sales]]-Table1[[#This Row],[total cost]]</f>
        <v>814</v>
      </c>
      <c r="R353" s="6" t="s">
        <v>136</v>
      </c>
      <c r="S353" s="6" t="str">
        <f>_xlfn.CONCAT(Table1[[#This Row],[Sub_Category]],"-",Table1[[#This Row],[bike colour]])</f>
        <v>Road Bikes-yellow</v>
      </c>
    </row>
    <row r="354" spans="1:19" x14ac:dyDescent="0.3">
      <c r="A354" s="1">
        <v>44521</v>
      </c>
      <c r="B354">
        <v>21</v>
      </c>
      <c r="C354" t="s">
        <v>98</v>
      </c>
      <c r="D354">
        <v>2021</v>
      </c>
      <c r="E354">
        <v>53</v>
      </c>
      <c r="F354" t="s">
        <v>14</v>
      </c>
      <c r="G354" t="s">
        <v>122</v>
      </c>
      <c r="H354" t="s">
        <v>23</v>
      </c>
      <c r="I354" t="s">
        <v>24</v>
      </c>
      <c r="J354" t="s">
        <v>25</v>
      </c>
      <c r="K354" t="s">
        <v>62</v>
      </c>
      <c r="L354">
        <v>2</v>
      </c>
      <c r="M354" s="6">
        <v>713</v>
      </c>
      <c r="N354" s="6">
        <v>1120</v>
      </c>
      <c r="O354" s="6">
        <f>Table1[[#This Row],[Unit_Price]]*Table1[[#This Row],[Order_Quantity]]</f>
        <v>2240</v>
      </c>
      <c r="P354" s="6">
        <f>Table1[[#This Row],[Unit_Cost]]*Table1[[#This Row],[Order_Quantity]]</f>
        <v>1426</v>
      </c>
      <c r="Q354" s="4">
        <f>Table1[[#This Row],[total sales]]-Table1[[#This Row],[total cost]]</f>
        <v>814</v>
      </c>
      <c r="R354" s="6" t="s">
        <v>139</v>
      </c>
      <c r="S354" s="6" t="str">
        <f>_xlfn.CONCAT(Table1[[#This Row],[Sub_Category]],"-",Table1[[#This Row],[bike colour]])</f>
        <v>Mountain Bikes-silver</v>
      </c>
    </row>
    <row r="355" spans="1:19" x14ac:dyDescent="0.3">
      <c r="A355" s="1">
        <v>44521</v>
      </c>
      <c r="B355">
        <v>21</v>
      </c>
      <c r="C355" t="s">
        <v>98</v>
      </c>
      <c r="D355">
        <v>2021</v>
      </c>
      <c r="E355">
        <v>25</v>
      </c>
      <c r="F355" t="s">
        <v>19</v>
      </c>
      <c r="G355" t="s">
        <v>120</v>
      </c>
      <c r="H355" t="s">
        <v>50</v>
      </c>
      <c r="I355" t="s">
        <v>93</v>
      </c>
      <c r="J355" t="s">
        <v>17</v>
      </c>
      <c r="K355" t="s">
        <v>63</v>
      </c>
      <c r="L355">
        <v>1</v>
      </c>
      <c r="M355" s="6">
        <v>713</v>
      </c>
      <c r="N355" s="6">
        <v>1120</v>
      </c>
      <c r="O355" s="6">
        <f>Table1[[#This Row],[Unit_Price]]*Table1[[#This Row],[Order_Quantity]]</f>
        <v>1120</v>
      </c>
      <c r="P355" s="6">
        <f>Table1[[#This Row],[Unit_Cost]]*Table1[[#This Row],[Order_Quantity]]</f>
        <v>713</v>
      </c>
      <c r="Q355" s="4">
        <f>Table1[[#This Row],[total sales]]-Table1[[#This Row],[total cost]]</f>
        <v>407</v>
      </c>
      <c r="R355" s="6" t="s">
        <v>136</v>
      </c>
      <c r="S355" s="6" t="str">
        <f>_xlfn.CONCAT(Table1[[#This Row],[Sub_Category]],"-",Table1[[#This Row],[bike colour]])</f>
        <v>Road Bikes-yellow</v>
      </c>
    </row>
    <row r="356" spans="1:19" x14ac:dyDescent="0.3">
      <c r="A356" s="1">
        <v>44522</v>
      </c>
      <c r="B356">
        <v>22</v>
      </c>
      <c r="C356" t="s">
        <v>98</v>
      </c>
      <c r="D356">
        <v>2021</v>
      </c>
      <c r="E356">
        <v>45</v>
      </c>
      <c r="F356" t="s">
        <v>14</v>
      </c>
      <c r="G356" t="s">
        <v>122</v>
      </c>
      <c r="H356" t="s">
        <v>23</v>
      </c>
      <c r="I356" t="s">
        <v>24</v>
      </c>
      <c r="J356" t="s">
        <v>17</v>
      </c>
      <c r="K356" t="s">
        <v>100</v>
      </c>
      <c r="L356">
        <v>2</v>
      </c>
      <c r="M356" s="6">
        <v>713</v>
      </c>
      <c r="N356" s="6">
        <v>1120</v>
      </c>
      <c r="O356" s="6">
        <f>Table1[[#This Row],[Unit_Price]]*Table1[[#This Row],[Order_Quantity]]</f>
        <v>2240</v>
      </c>
      <c r="P356" s="6">
        <f>Table1[[#This Row],[Unit_Cost]]*Table1[[#This Row],[Order_Quantity]]</f>
        <v>1426</v>
      </c>
      <c r="Q356" s="4">
        <f>Table1[[#This Row],[total sales]]-Table1[[#This Row],[total cost]]</f>
        <v>814</v>
      </c>
      <c r="R356" s="6" t="s">
        <v>138</v>
      </c>
      <c r="S356" s="6" t="str">
        <f>_xlfn.CONCAT(Table1[[#This Row],[Sub_Category]],"-",Table1[[#This Row],[bike colour]])</f>
        <v>Road Bikes-black</v>
      </c>
    </row>
    <row r="357" spans="1:19" x14ac:dyDescent="0.3">
      <c r="A357" s="1">
        <v>44522</v>
      </c>
      <c r="B357">
        <v>22</v>
      </c>
      <c r="C357" t="s">
        <v>98</v>
      </c>
      <c r="D357">
        <v>2021</v>
      </c>
      <c r="E357">
        <v>48</v>
      </c>
      <c r="F357" t="s">
        <v>14</v>
      </c>
      <c r="G357" t="s">
        <v>122</v>
      </c>
      <c r="H357" t="s">
        <v>15</v>
      </c>
      <c r="I357" t="s">
        <v>16</v>
      </c>
      <c r="J357" t="s">
        <v>25</v>
      </c>
      <c r="K357" t="s">
        <v>61</v>
      </c>
      <c r="L357">
        <v>2</v>
      </c>
      <c r="M357" s="6">
        <v>713</v>
      </c>
      <c r="N357" s="6">
        <v>1120</v>
      </c>
      <c r="O357" s="6">
        <f>Table1[[#This Row],[Unit_Price]]*Table1[[#This Row],[Order_Quantity]]</f>
        <v>2240</v>
      </c>
      <c r="P357" s="6">
        <f>Table1[[#This Row],[Unit_Cost]]*Table1[[#This Row],[Order_Quantity]]</f>
        <v>1426</v>
      </c>
      <c r="Q357" s="4">
        <f>Table1[[#This Row],[total sales]]-Table1[[#This Row],[total cost]]</f>
        <v>814</v>
      </c>
      <c r="R357" s="6" t="s">
        <v>138</v>
      </c>
      <c r="S357" s="6" t="str">
        <f>_xlfn.CONCAT(Table1[[#This Row],[Sub_Category]],"-",Table1[[#This Row],[bike colour]])</f>
        <v>Mountain Bikes-black</v>
      </c>
    </row>
    <row r="358" spans="1:19" x14ac:dyDescent="0.3">
      <c r="A358" s="1">
        <v>44522</v>
      </c>
      <c r="B358">
        <v>22</v>
      </c>
      <c r="C358" t="s">
        <v>98</v>
      </c>
      <c r="D358">
        <v>2021</v>
      </c>
      <c r="E358">
        <v>18</v>
      </c>
      <c r="F358" t="s">
        <v>49</v>
      </c>
      <c r="G358" t="s">
        <v>120</v>
      </c>
      <c r="H358" t="s">
        <v>27</v>
      </c>
      <c r="I358" t="s">
        <v>28</v>
      </c>
      <c r="J358" t="s">
        <v>17</v>
      </c>
      <c r="K358" t="s">
        <v>59</v>
      </c>
      <c r="L358">
        <v>1</v>
      </c>
      <c r="M358" s="6">
        <v>713</v>
      </c>
      <c r="N358" s="6">
        <v>1120</v>
      </c>
      <c r="O358" s="6">
        <f>Table1[[#This Row],[Unit_Price]]*Table1[[#This Row],[Order_Quantity]]</f>
        <v>1120</v>
      </c>
      <c r="P358" s="6">
        <f>Table1[[#This Row],[Unit_Cost]]*Table1[[#This Row],[Order_Quantity]]</f>
        <v>713</v>
      </c>
      <c r="Q358" s="4">
        <f>Table1[[#This Row],[total sales]]-Table1[[#This Row],[total cost]]</f>
        <v>407</v>
      </c>
      <c r="R358" s="6" t="s">
        <v>137</v>
      </c>
      <c r="S358" s="6" t="str">
        <f>_xlfn.CONCAT(Table1[[#This Row],[Sub_Category]],"-",Table1[[#This Row],[bike colour]])</f>
        <v>Road Bikes-red</v>
      </c>
    </row>
    <row r="359" spans="1:19" x14ac:dyDescent="0.3">
      <c r="A359" s="1">
        <v>44522</v>
      </c>
      <c r="B359">
        <v>22</v>
      </c>
      <c r="C359" t="s">
        <v>98</v>
      </c>
      <c r="D359">
        <v>2021</v>
      </c>
      <c r="E359">
        <v>32</v>
      </c>
      <c r="F359" t="s">
        <v>19</v>
      </c>
      <c r="G359" t="s">
        <v>120</v>
      </c>
      <c r="H359" t="s">
        <v>15</v>
      </c>
      <c r="I359" t="s">
        <v>16</v>
      </c>
      <c r="J359" t="s">
        <v>17</v>
      </c>
      <c r="K359" t="s">
        <v>32</v>
      </c>
      <c r="L359">
        <v>1</v>
      </c>
      <c r="M359" s="6">
        <v>713</v>
      </c>
      <c r="N359" s="6">
        <v>1120</v>
      </c>
      <c r="O359" s="6">
        <f>Table1[[#This Row],[Unit_Price]]*Table1[[#This Row],[Order_Quantity]]</f>
        <v>1120</v>
      </c>
      <c r="P359" s="6">
        <f>Table1[[#This Row],[Unit_Cost]]*Table1[[#This Row],[Order_Quantity]]</f>
        <v>713</v>
      </c>
      <c r="Q359" s="4">
        <f>Table1[[#This Row],[total sales]]-Table1[[#This Row],[total cost]]</f>
        <v>407</v>
      </c>
      <c r="R359" s="6" t="s">
        <v>137</v>
      </c>
      <c r="S359" s="6" t="str">
        <f>_xlfn.CONCAT(Table1[[#This Row],[Sub_Category]],"-",Table1[[#This Row],[bike colour]])</f>
        <v>Road Bikes-red</v>
      </c>
    </row>
    <row r="360" spans="1:19" x14ac:dyDescent="0.3">
      <c r="A360" s="1">
        <v>44523</v>
      </c>
      <c r="B360">
        <v>23</v>
      </c>
      <c r="C360" t="s">
        <v>98</v>
      </c>
      <c r="D360">
        <v>2021</v>
      </c>
      <c r="E360">
        <v>27</v>
      </c>
      <c r="F360" t="s">
        <v>19</v>
      </c>
      <c r="G360" t="s">
        <v>120</v>
      </c>
      <c r="H360" t="s">
        <v>27</v>
      </c>
      <c r="I360" t="s">
        <v>33</v>
      </c>
      <c r="J360" t="s">
        <v>17</v>
      </c>
      <c r="K360" t="s">
        <v>44</v>
      </c>
      <c r="L360">
        <v>4</v>
      </c>
      <c r="M360" s="6">
        <v>713</v>
      </c>
      <c r="N360" s="6">
        <v>1120</v>
      </c>
      <c r="O360" s="6">
        <f>Table1[[#This Row],[Unit_Price]]*Table1[[#This Row],[Order_Quantity]]</f>
        <v>4480</v>
      </c>
      <c r="P360" s="6">
        <f>Table1[[#This Row],[Unit_Cost]]*Table1[[#This Row],[Order_Quantity]]</f>
        <v>2852</v>
      </c>
      <c r="Q360" s="4">
        <f>Table1[[#This Row],[total sales]]-Table1[[#This Row],[total cost]]</f>
        <v>1628</v>
      </c>
      <c r="R360" s="6" t="s">
        <v>136</v>
      </c>
      <c r="S360" s="6" t="str">
        <f>_xlfn.CONCAT(Table1[[#This Row],[Sub_Category]],"-",Table1[[#This Row],[bike colour]])</f>
        <v>Road Bikes-yellow</v>
      </c>
    </row>
    <row r="361" spans="1:19" x14ac:dyDescent="0.3">
      <c r="A361" s="1">
        <v>44523</v>
      </c>
      <c r="B361">
        <v>23</v>
      </c>
      <c r="C361" t="s">
        <v>98</v>
      </c>
      <c r="D361">
        <v>2021</v>
      </c>
      <c r="E361">
        <v>30</v>
      </c>
      <c r="F361" t="s">
        <v>19</v>
      </c>
      <c r="G361" t="s">
        <v>120</v>
      </c>
      <c r="H361" t="s">
        <v>15</v>
      </c>
      <c r="I361" t="s">
        <v>16</v>
      </c>
      <c r="J361" t="s">
        <v>17</v>
      </c>
      <c r="K361" t="s">
        <v>104</v>
      </c>
      <c r="L361">
        <v>4</v>
      </c>
      <c r="M361" s="6">
        <v>713</v>
      </c>
      <c r="N361" s="6">
        <v>1120</v>
      </c>
      <c r="O361" s="6">
        <f>Table1[[#This Row],[Unit_Price]]*Table1[[#This Row],[Order_Quantity]]</f>
        <v>4480</v>
      </c>
      <c r="P361" s="6">
        <f>Table1[[#This Row],[Unit_Cost]]*Table1[[#This Row],[Order_Quantity]]</f>
        <v>2852</v>
      </c>
      <c r="Q361" s="4">
        <f>Table1[[#This Row],[total sales]]-Table1[[#This Row],[total cost]]</f>
        <v>1628</v>
      </c>
      <c r="R361" s="6" t="s">
        <v>138</v>
      </c>
      <c r="S361" s="6" t="str">
        <f>_xlfn.CONCAT(Table1[[#This Row],[Sub_Category]],"-",Table1[[#This Row],[bike colour]])</f>
        <v>Road Bikes-black</v>
      </c>
    </row>
    <row r="362" spans="1:19" x14ac:dyDescent="0.3">
      <c r="A362" s="1">
        <v>44523</v>
      </c>
      <c r="B362">
        <v>23</v>
      </c>
      <c r="C362" t="s">
        <v>98</v>
      </c>
      <c r="D362">
        <v>2021</v>
      </c>
      <c r="E362">
        <v>17</v>
      </c>
      <c r="F362" t="s">
        <v>49</v>
      </c>
      <c r="G362" t="s">
        <v>122</v>
      </c>
      <c r="H362" t="s">
        <v>27</v>
      </c>
      <c r="I362" t="s">
        <v>33</v>
      </c>
      <c r="J362" t="s">
        <v>17</v>
      </c>
      <c r="K362" t="s">
        <v>99</v>
      </c>
      <c r="L362">
        <v>1</v>
      </c>
      <c r="M362" s="6">
        <v>713</v>
      </c>
      <c r="N362" s="6">
        <v>1120</v>
      </c>
      <c r="O362" s="6">
        <f>Table1[[#This Row],[Unit_Price]]*Table1[[#This Row],[Order_Quantity]]</f>
        <v>1120</v>
      </c>
      <c r="P362" s="6">
        <f>Table1[[#This Row],[Unit_Cost]]*Table1[[#This Row],[Order_Quantity]]</f>
        <v>713</v>
      </c>
      <c r="Q362" s="4">
        <f>Table1[[#This Row],[total sales]]-Table1[[#This Row],[total cost]]</f>
        <v>407</v>
      </c>
      <c r="R362" s="6" t="s">
        <v>137</v>
      </c>
      <c r="S362" s="6" t="str">
        <f>_xlfn.CONCAT(Table1[[#This Row],[Sub_Category]],"-",Table1[[#This Row],[bike colour]])</f>
        <v>Road Bikes-red</v>
      </c>
    </row>
    <row r="363" spans="1:19" x14ac:dyDescent="0.3">
      <c r="A363" s="1">
        <v>44523</v>
      </c>
      <c r="B363">
        <v>23</v>
      </c>
      <c r="C363" t="s">
        <v>98</v>
      </c>
      <c r="D363">
        <v>2021</v>
      </c>
      <c r="E363">
        <v>24</v>
      </c>
      <c r="F363" t="s">
        <v>49</v>
      </c>
      <c r="G363" t="s">
        <v>120</v>
      </c>
      <c r="H363" t="s">
        <v>15</v>
      </c>
      <c r="I363" t="s">
        <v>47</v>
      </c>
      <c r="J363" t="s">
        <v>25</v>
      </c>
      <c r="K363" t="s">
        <v>61</v>
      </c>
      <c r="L363">
        <v>1</v>
      </c>
      <c r="M363" s="6">
        <v>713</v>
      </c>
      <c r="N363" s="6">
        <v>1120</v>
      </c>
      <c r="O363" s="6">
        <f>Table1[[#This Row],[Unit_Price]]*Table1[[#This Row],[Order_Quantity]]</f>
        <v>1120</v>
      </c>
      <c r="P363" s="6">
        <f>Table1[[#This Row],[Unit_Cost]]*Table1[[#This Row],[Order_Quantity]]</f>
        <v>713</v>
      </c>
      <c r="Q363" s="4">
        <f>Table1[[#This Row],[total sales]]-Table1[[#This Row],[total cost]]</f>
        <v>407</v>
      </c>
      <c r="R363" s="6" t="s">
        <v>138</v>
      </c>
      <c r="S363" s="6" t="str">
        <f>_xlfn.CONCAT(Table1[[#This Row],[Sub_Category]],"-",Table1[[#This Row],[bike colour]])</f>
        <v>Mountain Bikes-black</v>
      </c>
    </row>
    <row r="364" spans="1:19" x14ac:dyDescent="0.3">
      <c r="A364" s="1">
        <v>44523</v>
      </c>
      <c r="B364">
        <v>23</v>
      </c>
      <c r="C364" t="s">
        <v>98</v>
      </c>
      <c r="D364">
        <v>2021</v>
      </c>
      <c r="E364">
        <v>29</v>
      </c>
      <c r="F364" t="s">
        <v>19</v>
      </c>
      <c r="G364" t="s">
        <v>120</v>
      </c>
      <c r="H364" t="s">
        <v>15</v>
      </c>
      <c r="I364" t="s">
        <v>47</v>
      </c>
      <c r="J364" t="s">
        <v>17</v>
      </c>
      <c r="K364" t="s">
        <v>75</v>
      </c>
      <c r="L364">
        <v>1</v>
      </c>
      <c r="M364" s="6">
        <v>713</v>
      </c>
      <c r="N364" s="6">
        <v>1120</v>
      </c>
      <c r="O364" s="6">
        <f>Table1[[#This Row],[Unit_Price]]*Table1[[#This Row],[Order_Quantity]]</f>
        <v>1120</v>
      </c>
      <c r="P364" s="6">
        <f>Table1[[#This Row],[Unit_Cost]]*Table1[[#This Row],[Order_Quantity]]</f>
        <v>713</v>
      </c>
      <c r="Q364" s="4">
        <f>Table1[[#This Row],[total sales]]-Table1[[#This Row],[total cost]]</f>
        <v>407</v>
      </c>
      <c r="R364" s="6" t="s">
        <v>137</v>
      </c>
      <c r="S364" s="6" t="str">
        <f>_xlfn.CONCAT(Table1[[#This Row],[Sub_Category]],"-",Table1[[#This Row],[bike colour]])</f>
        <v>Road Bikes-red</v>
      </c>
    </row>
    <row r="365" spans="1:19" x14ac:dyDescent="0.3">
      <c r="A365" s="1">
        <v>44524</v>
      </c>
      <c r="B365">
        <v>24</v>
      </c>
      <c r="C365" t="s">
        <v>98</v>
      </c>
      <c r="D365">
        <v>2021</v>
      </c>
      <c r="E365">
        <v>22</v>
      </c>
      <c r="F365" t="s">
        <v>49</v>
      </c>
      <c r="G365" t="s">
        <v>122</v>
      </c>
      <c r="H365" t="s">
        <v>27</v>
      </c>
      <c r="I365" t="s">
        <v>45</v>
      </c>
      <c r="J365" t="s">
        <v>17</v>
      </c>
      <c r="K365" t="s">
        <v>103</v>
      </c>
      <c r="L365">
        <v>3</v>
      </c>
      <c r="M365" s="6">
        <v>713</v>
      </c>
      <c r="N365" s="6">
        <v>1120</v>
      </c>
      <c r="O365" s="6">
        <f>Table1[[#This Row],[Unit_Price]]*Table1[[#This Row],[Order_Quantity]]</f>
        <v>3360</v>
      </c>
      <c r="P365" s="6">
        <f>Table1[[#This Row],[Unit_Cost]]*Table1[[#This Row],[Order_Quantity]]</f>
        <v>2139</v>
      </c>
      <c r="Q365" s="4">
        <f>Table1[[#This Row],[total sales]]-Table1[[#This Row],[total cost]]</f>
        <v>1221</v>
      </c>
      <c r="R365" s="6" t="s">
        <v>138</v>
      </c>
      <c r="S365" s="6" t="str">
        <f>_xlfn.CONCAT(Table1[[#This Row],[Sub_Category]],"-",Table1[[#This Row],[bike colour]])</f>
        <v>Road Bikes-black</v>
      </c>
    </row>
    <row r="366" spans="1:19" x14ac:dyDescent="0.3">
      <c r="A366" s="1">
        <v>44524</v>
      </c>
      <c r="B366">
        <v>24</v>
      </c>
      <c r="C366" t="s">
        <v>98</v>
      </c>
      <c r="D366">
        <v>2021</v>
      </c>
      <c r="E366">
        <v>34</v>
      </c>
      <c r="F366" t="s">
        <v>19</v>
      </c>
      <c r="G366" t="s">
        <v>120</v>
      </c>
      <c r="H366" t="s">
        <v>50</v>
      </c>
      <c r="I366" t="s">
        <v>53</v>
      </c>
      <c r="J366" t="s">
        <v>17</v>
      </c>
      <c r="K366" t="s">
        <v>59</v>
      </c>
      <c r="L366">
        <v>3</v>
      </c>
      <c r="M366" s="6">
        <v>713</v>
      </c>
      <c r="N366" s="6">
        <v>1120</v>
      </c>
      <c r="O366" s="6">
        <f>Table1[[#This Row],[Unit_Price]]*Table1[[#This Row],[Order_Quantity]]</f>
        <v>3360</v>
      </c>
      <c r="P366" s="6">
        <f>Table1[[#This Row],[Unit_Cost]]*Table1[[#This Row],[Order_Quantity]]</f>
        <v>2139</v>
      </c>
      <c r="Q366" s="4">
        <f>Table1[[#This Row],[total sales]]-Table1[[#This Row],[total cost]]</f>
        <v>1221</v>
      </c>
      <c r="R366" s="6" t="s">
        <v>137</v>
      </c>
      <c r="S366" s="6" t="str">
        <f>_xlfn.CONCAT(Table1[[#This Row],[Sub_Category]],"-",Table1[[#This Row],[bike colour]])</f>
        <v>Road Bikes-red</v>
      </c>
    </row>
    <row r="367" spans="1:19" x14ac:dyDescent="0.3">
      <c r="A367" s="1">
        <v>44524</v>
      </c>
      <c r="B367">
        <v>24</v>
      </c>
      <c r="C367" t="s">
        <v>98</v>
      </c>
      <c r="D367">
        <v>2021</v>
      </c>
      <c r="E367">
        <v>28</v>
      </c>
      <c r="F367" t="s">
        <v>19</v>
      </c>
      <c r="G367" t="s">
        <v>120</v>
      </c>
      <c r="H367" t="s">
        <v>15</v>
      </c>
      <c r="I367" t="s">
        <v>82</v>
      </c>
      <c r="J367" t="s">
        <v>25</v>
      </c>
      <c r="K367" t="s">
        <v>31</v>
      </c>
      <c r="L367">
        <v>2</v>
      </c>
      <c r="M367" s="6">
        <v>713</v>
      </c>
      <c r="N367" s="6">
        <v>1120</v>
      </c>
      <c r="O367" s="6">
        <f>Table1[[#This Row],[Unit_Price]]*Table1[[#This Row],[Order_Quantity]]</f>
        <v>2240</v>
      </c>
      <c r="P367" s="6">
        <f>Table1[[#This Row],[Unit_Cost]]*Table1[[#This Row],[Order_Quantity]]</f>
        <v>1426</v>
      </c>
      <c r="Q367" s="4">
        <f>Table1[[#This Row],[total sales]]-Table1[[#This Row],[total cost]]</f>
        <v>814</v>
      </c>
      <c r="R367" s="6" t="s">
        <v>139</v>
      </c>
      <c r="S367" s="6" t="str">
        <f>_xlfn.CONCAT(Table1[[#This Row],[Sub_Category]],"-",Table1[[#This Row],[bike colour]])</f>
        <v>Mountain Bikes-silver</v>
      </c>
    </row>
    <row r="368" spans="1:19" x14ac:dyDescent="0.3">
      <c r="A368" s="1">
        <v>44524</v>
      </c>
      <c r="B368">
        <v>24</v>
      </c>
      <c r="C368" t="s">
        <v>98</v>
      </c>
      <c r="D368">
        <v>2021</v>
      </c>
      <c r="E368">
        <v>37</v>
      </c>
      <c r="F368" t="s">
        <v>14</v>
      </c>
      <c r="G368" t="s">
        <v>120</v>
      </c>
      <c r="H368" t="s">
        <v>15</v>
      </c>
      <c r="I368" t="s">
        <v>47</v>
      </c>
      <c r="J368" t="s">
        <v>17</v>
      </c>
      <c r="K368" t="s">
        <v>63</v>
      </c>
      <c r="L368">
        <v>2</v>
      </c>
      <c r="M368" s="6">
        <v>713</v>
      </c>
      <c r="N368" s="6">
        <v>1120</v>
      </c>
      <c r="O368" s="6">
        <f>Table1[[#This Row],[Unit_Price]]*Table1[[#This Row],[Order_Quantity]]</f>
        <v>2240</v>
      </c>
      <c r="P368" s="6">
        <f>Table1[[#This Row],[Unit_Cost]]*Table1[[#This Row],[Order_Quantity]]</f>
        <v>1426</v>
      </c>
      <c r="Q368" s="4">
        <f>Table1[[#This Row],[total sales]]-Table1[[#This Row],[total cost]]</f>
        <v>814</v>
      </c>
      <c r="R368" s="6" t="s">
        <v>136</v>
      </c>
      <c r="S368" s="6" t="str">
        <f>_xlfn.CONCAT(Table1[[#This Row],[Sub_Category]],"-",Table1[[#This Row],[bike colour]])</f>
        <v>Road Bikes-yellow</v>
      </c>
    </row>
    <row r="369" spans="1:19" x14ac:dyDescent="0.3">
      <c r="A369" s="1">
        <v>44524</v>
      </c>
      <c r="B369">
        <v>24</v>
      </c>
      <c r="C369" t="s">
        <v>98</v>
      </c>
      <c r="D369">
        <v>2021</v>
      </c>
      <c r="E369">
        <v>23</v>
      </c>
      <c r="F369" t="s">
        <v>49</v>
      </c>
      <c r="G369" t="s">
        <v>122</v>
      </c>
      <c r="H369" t="s">
        <v>15</v>
      </c>
      <c r="I369" t="s">
        <v>16</v>
      </c>
      <c r="J369" t="s">
        <v>25</v>
      </c>
      <c r="K369" t="s">
        <v>31</v>
      </c>
      <c r="L369">
        <v>1</v>
      </c>
      <c r="M369" s="6">
        <v>713</v>
      </c>
      <c r="N369" s="6">
        <v>1120</v>
      </c>
      <c r="O369" s="6">
        <f>Table1[[#This Row],[Unit_Price]]*Table1[[#This Row],[Order_Quantity]]</f>
        <v>1120</v>
      </c>
      <c r="P369" s="6">
        <f>Table1[[#This Row],[Unit_Cost]]*Table1[[#This Row],[Order_Quantity]]</f>
        <v>713</v>
      </c>
      <c r="Q369" s="4">
        <f>Table1[[#This Row],[total sales]]-Table1[[#This Row],[total cost]]</f>
        <v>407</v>
      </c>
      <c r="R369" s="6" t="s">
        <v>139</v>
      </c>
      <c r="S369" s="6" t="str">
        <f>_xlfn.CONCAT(Table1[[#This Row],[Sub_Category]],"-",Table1[[#This Row],[bike colour]])</f>
        <v>Mountain Bikes-silver</v>
      </c>
    </row>
    <row r="370" spans="1:19" x14ac:dyDescent="0.3">
      <c r="A370" s="1">
        <v>44524</v>
      </c>
      <c r="B370">
        <v>24</v>
      </c>
      <c r="C370" t="s">
        <v>98</v>
      </c>
      <c r="D370">
        <v>2021</v>
      </c>
      <c r="E370">
        <v>23</v>
      </c>
      <c r="F370" t="s">
        <v>49</v>
      </c>
      <c r="G370" t="s">
        <v>122</v>
      </c>
      <c r="H370" t="s">
        <v>27</v>
      </c>
      <c r="I370" t="s">
        <v>33</v>
      </c>
      <c r="J370" t="s">
        <v>17</v>
      </c>
      <c r="K370" t="s">
        <v>52</v>
      </c>
      <c r="L370">
        <v>1</v>
      </c>
      <c r="M370" s="6">
        <v>713</v>
      </c>
      <c r="N370" s="6">
        <v>1120</v>
      </c>
      <c r="O370" s="6">
        <f>Table1[[#This Row],[Unit_Price]]*Table1[[#This Row],[Order_Quantity]]</f>
        <v>1120</v>
      </c>
      <c r="P370" s="6">
        <f>Table1[[#This Row],[Unit_Cost]]*Table1[[#This Row],[Order_Quantity]]</f>
        <v>713</v>
      </c>
      <c r="Q370" s="4">
        <f>Table1[[#This Row],[total sales]]-Table1[[#This Row],[total cost]]</f>
        <v>407</v>
      </c>
      <c r="R370" s="6" t="s">
        <v>138</v>
      </c>
      <c r="S370" s="6" t="str">
        <f>_xlfn.CONCAT(Table1[[#This Row],[Sub_Category]],"-",Table1[[#This Row],[bike colour]])</f>
        <v>Road Bikes-black</v>
      </c>
    </row>
    <row r="371" spans="1:19" x14ac:dyDescent="0.3">
      <c r="A371" s="1">
        <v>44524</v>
      </c>
      <c r="B371">
        <v>24</v>
      </c>
      <c r="C371" t="s">
        <v>98</v>
      </c>
      <c r="D371">
        <v>2021</v>
      </c>
      <c r="E371">
        <v>33</v>
      </c>
      <c r="F371" t="s">
        <v>19</v>
      </c>
      <c r="G371" t="s">
        <v>120</v>
      </c>
      <c r="H371" t="s">
        <v>15</v>
      </c>
      <c r="I371" t="s">
        <v>82</v>
      </c>
      <c r="J371" t="s">
        <v>17</v>
      </c>
      <c r="K371" t="s">
        <v>65</v>
      </c>
      <c r="L371">
        <v>1</v>
      </c>
      <c r="M371" s="6">
        <v>713</v>
      </c>
      <c r="N371" s="6">
        <v>1120</v>
      </c>
      <c r="O371" s="6">
        <f>Table1[[#This Row],[Unit_Price]]*Table1[[#This Row],[Order_Quantity]]</f>
        <v>1120</v>
      </c>
      <c r="P371" s="6">
        <f>Table1[[#This Row],[Unit_Cost]]*Table1[[#This Row],[Order_Quantity]]</f>
        <v>713</v>
      </c>
      <c r="Q371" s="4">
        <f>Table1[[#This Row],[total sales]]-Table1[[#This Row],[total cost]]</f>
        <v>407</v>
      </c>
      <c r="R371" s="6" t="s">
        <v>136</v>
      </c>
      <c r="S371" s="6" t="str">
        <f>_xlfn.CONCAT(Table1[[#This Row],[Sub_Category]],"-",Table1[[#This Row],[bike colour]])</f>
        <v>Road Bikes-yellow</v>
      </c>
    </row>
    <row r="372" spans="1:19" x14ac:dyDescent="0.3">
      <c r="A372" s="1">
        <v>44524</v>
      </c>
      <c r="B372">
        <v>24</v>
      </c>
      <c r="C372" t="s">
        <v>98</v>
      </c>
      <c r="D372">
        <v>2021</v>
      </c>
      <c r="E372">
        <v>39</v>
      </c>
      <c r="F372" t="s">
        <v>14</v>
      </c>
      <c r="G372" t="s">
        <v>120</v>
      </c>
      <c r="H372" t="s">
        <v>27</v>
      </c>
      <c r="I372" t="s">
        <v>45</v>
      </c>
      <c r="J372" t="s">
        <v>17</v>
      </c>
      <c r="K372" t="s">
        <v>35</v>
      </c>
      <c r="L372">
        <v>1</v>
      </c>
      <c r="M372" s="6">
        <v>713</v>
      </c>
      <c r="N372" s="6">
        <v>1120</v>
      </c>
      <c r="O372" s="6">
        <f>Table1[[#This Row],[Unit_Price]]*Table1[[#This Row],[Order_Quantity]]</f>
        <v>1120</v>
      </c>
      <c r="P372" s="6">
        <f>Table1[[#This Row],[Unit_Cost]]*Table1[[#This Row],[Order_Quantity]]</f>
        <v>713</v>
      </c>
      <c r="Q372" s="4">
        <f>Table1[[#This Row],[total sales]]-Table1[[#This Row],[total cost]]</f>
        <v>407</v>
      </c>
      <c r="R372" s="6" t="s">
        <v>137</v>
      </c>
      <c r="S372" s="6" t="str">
        <f>_xlfn.CONCAT(Table1[[#This Row],[Sub_Category]],"-",Table1[[#This Row],[bike colour]])</f>
        <v>Road Bikes-red</v>
      </c>
    </row>
    <row r="373" spans="1:19" x14ac:dyDescent="0.3">
      <c r="A373" s="1">
        <v>44524</v>
      </c>
      <c r="B373">
        <v>24</v>
      </c>
      <c r="C373" t="s">
        <v>98</v>
      </c>
      <c r="D373">
        <v>2021</v>
      </c>
      <c r="E373">
        <v>46</v>
      </c>
      <c r="F373" t="s">
        <v>14</v>
      </c>
      <c r="G373" t="s">
        <v>120</v>
      </c>
      <c r="H373" t="s">
        <v>23</v>
      </c>
      <c r="I373" t="s">
        <v>24</v>
      </c>
      <c r="J373" t="s">
        <v>17</v>
      </c>
      <c r="K373" t="s">
        <v>52</v>
      </c>
      <c r="L373">
        <v>1</v>
      </c>
      <c r="M373" s="6">
        <v>713</v>
      </c>
      <c r="N373" s="6">
        <v>1120</v>
      </c>
      <c r="O373" s="6">
        <f>Table1[[#This Row],[Unit_Price]]*Table1[[#This Row],[Order_Quantity]]</f>
        <v>1120</v>
      </c>
      <c r="P373" s="6">
        <f>Table1[[#This Row],[Unit_Cost]]*Table1[[#This Row],[Order_Quantity]]</f>
        <v>713</v>
      </c>
      <c r="Q373" s="4">
        <f>Table1[[#This Row],[total sales]]-Table1[[#This Row],[total cost]]</f>
        <v>407</v>
      </c>
      <c r="R373" s="6" t="s">
        <v>138</v>
      </c>
      <c r="S373" s="6" t="str">
        <f>_xlfn.CONCAT(Table1[[#This Row],[Sub_Category]],"-",Table1[[#This Row],[bike colour]])</f>
        <v>Road Bikes-black</v>
      </c>
    </row>
    <row r="374" spans="1:19" x14ac:dyDescent="0.3">
      <c r="A374" s="1">
        <v>44524</v>
      </c>
      <c r="B374">
        <v>24</v>
      </c>
      <c r="C374" t="s">
        <v>98</v>
      </c>
      <c r="D374">
        <v>2021</v>
      </c>
      <c r="E374">
        <v>48</v>
      </c>
      <c r="F374" t="s">
        <v>14</v>
      </c>
      <c r="G374" t="s">
        <v>122</v>
      </c>
      <c r="H374" t="s">
        <v>15</v>
      </c>
      <c r="I374" t="s">
        <v>16</v>
      </c>
      <c r="J374" t="s">
        <v>25</v>
      </c>
      <c r="K374" t="s">
        <v>61</v>
      </c>
      <c r="L374">
        <v>1</v>
      </c>
      <c r="M374" s="6">
        <v>713</v>
      </c>
      <c r="N374" s="6">
        <v>1120</v>
      </c>
      <c r="O374" s="6">
        <f>Table1[[#This Row],[Unit_Price]]*Table1[[#This Row],[Order_Quantity]]</f>
        <v>1120</v>
      </c>
      <c r="P374" s="6">
        <f>Table1[[#This Row],[Unit_Cost]]*Table1[[#This Row],[Order_Quantity]]</f>
        <v>713</v>
      </c>
      <c r="Q374" s="4">
        <f>Table1[[#This Row],[total sales]]-Table1[[#This Row],[total cost]]</f>
        <v>407</v>
      </c>
      <c r="R374" s="6" t="s">
        <v>138</v>
      </c>
      <c r="S374" s="6" t="str">
        <f>_xlfn.CONCAT(Table1[[#This Row],[Sub_Category]],"-",Table1[[#This Row],[bike colour]])</f>
        <v>Mountain Bikes-black</v>
      </c>
    </row>
    <row r="375" spans="1:19" x14ac:dyDescent="0.3">
      <c r="A375" s="1">
        <v>44525</v>
      </c>
      <c r="B375">
        <v>25</v>
      </c>
      <c r="C375" t="s">
        <v>98</v>
      </c>
      <c r="D375">
        <v>2021</v>
      </c>
      <c r="E375">
        <v>27</v>
      </c>
      <c r="F375" t="s">
        <v>19</v>
      </c>
      <c r="G375" t="s">
        <v>122</v>
      </c>
      <c r="H375" t="s">
        <v>27</v>
      </c>
      <c r="I375" t="s">
        <v>28</v>
      </c>
      <c r="J375" t="s">
        <v>17</v>
      </c>
      <c r="K375" t="s">
        <v>40</v>
      </c>
      <c r="L375">
        <v>3</v>
      </c>
      <c r="M375" s="6">
        <v>713</v>
      </c>
      <c r="N375" s="6">
        <v>1120</v>
      </c>
      <c r="O375" s="6">
        <f>Table1[[#This Row],[Unit_Price]]*Table1[[#This Row],[Order_Quantity]]</f>
        <v>3360</v>
      </c>
      <c r="P375" s="6">
        <f>Table1[[#This Row],[Unit_Cost]]*Table1[[#This Row],[Order_Quantity]]</f>
        <v>2139</v>
      </c>
      <c r="Q375" s="4">
        <f>Table1[[#This Row],[total sales]]-Table1[[#This Row],[total cost]]</f>
        <v>1221</v>
      </c>
      <c r="R375" s="6" t="s">
        <v>138</v>
      </c>
      <c r="S375" s="6" t="str">
        <f>_xlfn.CONCAT(Table1[[#This Row],[Sub_Category]],"-",Table1[[#This Row],[bike colour]])</f>
        <v>Road Bikes-black</v>
      </c>
    </row>
    <row r="376" spans="1:19" x14ac:dyDescent="0.3">
      <c r="A376" s="1">
        <v>44525</v>
      </c>
      <c r="B376">
        <v>25</v>
      </c>
      <c r="C376" t="s">
        <v>98</v>
      </c>
      <c r="D376">
        <v>2021</v>
      </c>
      <c r="E376">
        <v>28</v>
      </c>
      <c r="F376" t="s">
        <v>19</v>
      </c>
      <c r="G376" t="s">
        <v>120</v>
      </c>
      <c r="H376" t="s">
        <v>23</v>
      </c>
      <c r="I376" t="s">
        <v>24</v>
      </c>
      <c r="J376" t="s">
        <v>17</v>
      </c>
      <c r="K376" t="s">
        <v>41</v>
      </c>
      <c r="L376">
        <v>3</v>
      </c>
      <c r="M376" s="6">
        <v>713</v>
      </c>
      <c r="N376" s="6">
        <v>1120</v>
      </c>
      <c r="O376" s="6">
        <f>Table1[[#This Row],[Unit_Price]]*Table1[[#This Row],[Order_Quantity]]</f>
        <v>3360</v>
      </c>
      <c r="P376" s="6">
        <f>Table1[[#This Row],[Unit_Cost]]*Table1[[#This Row],[Order_Quantity]]</f>
        <v>2139</v>
      </c>
      <c r="Q376" s="4">
        <f>Table1[[#This Row],[total sales]]-Table1[[#This Row],[total cost]]</f>
        <v>1221</v>
      </c>
      <c r="R376" s="6" t="s">
        <v>138</v>
      </c>
      <c r="S376" s="6" t="str">
        <f>_xlfn.CONCAT(Table1[[#This Row],[Sub_Category]],"-",Table1[[#This Row],[bike colour]])</f>
        <v>Road Bikes-black</v>
      </c>
    </row>
    <row r="377" spans="1:19" x14ac:dyDescent="0.3">
      <c r="A377" s="1">
        <v>44525</v>
      </c>
      <c r="B377">
        <v>25</v>
      </c>
      <c r="C377" t="s">
        <v>98</v>
      </c>
      <c r="D377">
        <v>2021</v>
      </c>
      <c r="E377">
        <v>29</v>
      </c>
      <c r="F377" t="s">
        <v>19</v>
      </c>
      <c r="G377" t="s">
        <v>120</v>
      </c>
      <c r="H377" t="s">
        <v>15</v>
      </c>
      <c r="I377" t="s">
        <v>16</v>
      </c>
      <c r="J377" t="s">
        <v>25</v>
      </c>
      <c r="K377" t="s">
        <v>56</v>
      </c>
      <c r="L377">
        <v>3</v>
      </c>
      <c r="M377" s="6">
        <v>713</v>
      </c>
      <c r="N377" s="6">
        <v>1120</v>
      </c>
      <c r="O377" s="6">
        <f>Table1[[#This Row],[Unit_Price]]*Table1[[#This Row],[Order_Quantity]]</f>
        <v>3360</v>
      </c>
      <c r="P377" s="6">
        <f>Table1[[#This Row],[Unit_Cost]]*Table1[[#This Row],[Order_Quantity]]</f>
        <v>2139</v>
      </c>
      <c r="Q377" s="4">
        <f>Table1[[#This Row],[total sales]]-Table1[[#This Row],[total cost]]</f>
        <v>1221</v>
      </c>
      <c r="R377" s="6" t="s">
        <v>139</v>
      </c>
      <c r="S377" s="6" t="str">
        <f>_xlfn.CONCAT(Table1[[#This Row],[Sub_Category]],"-",Table1[[#This Row],[bike colour]])</f>
        <v>Mountain Bikes-silver</v>
      </c>
    </row>
    <row r="378" spans="1:19" x14ac:dyDescent="0.3">
      <c r="A378" s="1">
        <v>44525</v>
      </c>
      <c r="B378">
        <v>25</v>
      </c>
      <c r="C378" t="s">
        <v>98</v>
      </c>
      <c r="D378">
        <v>2021</v>
      </c>
      <c r="E378">
        <v>19</v>
      </c>
      <c r="F378" t="s">
        <v>49</v>
      </c>
      <c r="G378" t="s">
        <v>120</v>
      </c>
      <c r="H378" t="s">
        <v>27</v>
      </c>
      <c r="I378" t="s">
        <v>33</v>
      </c>
      <c r="J378" t="s">
        <v>17</v>
      </c>
      <c r="K378" t="s">
        <v>54</v>
      </c>
      <c r="L378">
        <v>2</v>
      </c>
      <c r="M378" s="6">
        <v>713</v>
      </c>
      <c r="N378" s="6">
        <v>1120</v>
      </c>
      <c r="O378" s="6">
        <f>Table1[[#This Row],[Unit_Price]]*Table1[[#This Row],[Order_Quantity]]</f>
        <v>2240</v>
      </c>
      <c r="P378" s="6">
        <f>Table1[[#This Row],[Unit_Cost]]*Table1[[#This Row],[Order_Quantity]]</f>
        <v>1426</v>
      </c>
      <c r="Q378" s="4">
        <f>Table1[[#This Row],[total sales]]-Table1[[#This Row],[total cost]]</f>
        <v>814</v>
      </c>
      <c r="R378" s="6" t="s">
        <v>137</v>
      </c>
      <c r="S378" s="6" t="str">
        <f>_xlfn.CONCAT(Table1[[#This Row],[Sub_Category]],"-",Table1[[#This Row],[bike colour]])</f>
        <v>Road Bikes-red</v>
      </c>
    </row>
    <row r="379" spans="1:19" x14ac:dyDescent="0.3">
      <c r="A379" s="1">
        <v>44525</v>
      </c>
      <c r="B379">
        <v>25</v>
      </c>
      <c r="C379" t="s">
        <v>98</v>
      </c>
      <c r="D379">
        <v>2021</v>
      </c>
      <c r="E379">
        <v>22</v>
      </c>
      <c r="F379" t="s">
        <v>49</v>
      </c>
      <c r="G379" t="s">
        <v>122</v>
      </c>
      <c r="H379" t="s">
        <v>15</v>
      </c>
      <c r="I379" t="s">
        <v>16</v>
      </c>
      <c r="J379" t="s">
        <v>17</v>
      </c>
      <c r="K379" t="s">
        <v>37</v>
      </c>
      <c r="L379">
        <v>1</v>
      </c>
      <c r="M379" s="6">
        <v>713</v>
      </c>
      <c r="N379" s="6">
        <v>1120</v>
      </c>
      <c r="O379" s="6">
        <f>Table1[[#This Row],[Unit_Price]]*Table1[[#This Row],[Order_Quantity]]</f>
        <v>1120</v>
      </c>
      <c r="P379" s="6">
        <f>Table1[[#This Row],[Unit_Cost]]*Table1[[#This Row],[Order_Quantity]]</f>
        <v>713</v>
      </c>
      <c r="Q379" s="4">
        <f>Table1[[#This Row],[total sales]]-Table1[[#This Row],[total cost]]</f>
        <v>407</v>
      </c>
      <c r="R379" s="6" t="s">
        <v>137</v>
      </c>
      <c r="S379" s="6" t="str">
        <f>_xlfn.CONCAT(Table1[[#This Row],[Sub_Category]],"-",Table1[[#This Row],[bike colour]])</f>
        <v>Road Bikes-red</v>
      </c>
    </row>
    <row r="380" spans="1:19" x14ac:dyDescent="0.3">
      <c r="A380" s="1">
        <v>44525</v>
      </c>
      <c r="B380">
        <v>25</v>
      </c>
      <c r="C380" t="s">
        <v>98</v>
      </c>
      <c r="D380">
        <v>2021</v>
      </c>
      <c r="E380">
        <v>29</v>
      </c>
      <c r="F380" t="s">
        <v>19</v>
      </c>
      <c r="G380" t="s">
        <v>120</v>
      </c>
      <c r="H380" t="s">
        <v>50</v>
      </c>
      <c r="I380" t="s">
        <v>53</v>
      </c>
      <c r="J380" t="s">
        <v>17</v>
      </c>
      <c r="K380" t="s">
        <v>104</v>
      </c>
      <c r="L380">
        <v>1</v>
      </c>
      <c r="M380" s="6">
        <v>713</v>
      </c>
      <c r="N380" s="6">
        <v>1120</v>
      </c>
      <c r="O380" s="6">
        <f>Table1[[#This Row],[Unit_Price]]*Table1[[#This Row],[Order_Quantity]]</f>
        <v>1120</v>
      </c>
      <c r="P380" s="6">
        <f>Table1[[#This Row],[Unit_Cost]]*Table1[[#This Row],[Order_Quantity]]</f>
        <v>713</v>
      </c>
      <c r="Q380" s="4">
        <f>Table1[[#This Row],[total sales]]-Table1[[#This Row],[total cost]]</f>
        <v>407</v>
      </c>
      <c r="R380" s="6" t="s">
        <v>138</v>
      </c>
      <c r="S380" s="6" t="str">
        <f>_xlfn.CONCAT(Table1[[#This Row],[Sub_Category]],"-",Table1[[#This Row],[bike colour]])</f>
        <v>Road Bikes-black</v>
      </c>
    </row>
    <row r="381" spans="1:19" x14ac:dyDescent="0.3">
      <c r="A381" s="1">
        <v>44525</v>
      </c>
      <c r="B381">
        <v>25</v>
      </c>
      <c r="C381" t="s">
        <v>98</v>
      </c>
      <c r="D381">
        <v>2021</v>
      </c>
      <c r="E381">
        <v>42</v>
      </c>
      <c r="F381" t="s">
        <v>14</v>
      </c>
      <c r="G381" t="s">
        <v>122</v>
      </c>
      <c r="H381" t="s">
        <v>23</v>
      </c>
      <c r="I381" t="s">
        <v>24</v>
      </c>
      <c r="J381" t="s">
        <v>17</v>
      </c>
      <c r="K381" t="s">
        <v>102</v>
      </c>
      <c r="L381">
        <v>1</v>
      </c>
      <c r="M381" s="6">
        <v>713</v>
      </c>
      <c r="N381" s="6">
        <v>1120</v>
      </c>
      <c r="O381" s="6">
        <f>Table1[[#This Row],[Unit_Price]]*Table1[[#This Row],[Order_Quantity]]</f>
        <v>1120</v>
      </c>
      <c r="P381" s="6">
        <f>Table1[[#This Row],[Unit_Cost]]*Table1[[#This Row],[Order_Quantity]]</f>
        <v>713</v>
      </c>
      <c r="Q381" s="4">
        <f>Table1[[#This Row],[total sales]]-Table1[[#This Row],[total cost]]</f>
        <v>407</v>
      </c>
      <c r="R381" s="6" t="s">
        <v>137</v>
      </c>
      <c r="S381" s="6" t="str">
        <f>_xlfn.CONCAT(Table1[[#This Row],[Sub_Category]],"-",Table1[[#This Row],[bike colour]])</f>
        <v>Road Bikes-red</v>
      </c>
    </row>
    <row r="382" spans="1:19" x14ac:dyDescent="0.3">
      <c r="A382" s="1">
        <v>44525</v>
      </c>
      <c r="B382">
        <v>25</v>
      </c>
      <c r="C382" t="s">
        <v>98</v>
      </c>
      <c r="D382">
        <v>2021</v>
      </c>
      <c r="E382">
        <v>46</v>
      </c>
      <c r="F382" t="s">
        <v>14</v>
      </c>
      <c r="G382" t="s">
        <v>120</v>
      </c>
      <c r="H382" t="s">
        <v>15</v>
      </c>
      <c r="I382" t="s">
        <v>47</v>
      </c>
      <c r="J382" t="s">
        <v>25</v>
      </c>
      <c r="K382" t="s">
        <v>62</v>
      </c>
      <c r="L382">
        <v>1</v>
      </c>
      <c r="M382" s="6">
        <v>713</v>
      </c>
      <c r="N382" s="6">
        <v>1120</v>
      </c>
      <c r="O382" s="6">
        <f>Table1[[#This Row],[Unit_Price]]*Table1[[#This Row],[Order_Quantity]]</f>
        <v>1120</v>
      </c>
      <c r="P382" s="6">
        <f>Table1[[#This Row],[Unit_Cost]]*Table1[[#This Row],[Order_Quantity]]</f>
        <v>713</v>
      </c>
      <c r="Q382" s="4">
        <f>Table1[[#This Row],[total sales]]-Table1[[#This Row],[total cost]]</f>
        <v>407</v>
      </c>
      <c r="R382" s="6" t="s">
        <v>139</v>
      </c>
      <c r="S382" s="6" t="str">
        <f>_xlfn.CONCAT(Table1[[#This Row],[Sub_Category]],"-",Table1[[#This Row],[bike colour]])</f>
        <v>Mountain Bikes-silver</v>
      </c>
    </row>
    <row r="383" spans="1:19" x14ac:dyDescent="0.3">
      <c r="A383" s="1">
        <v>44526</v>
      </c>
      <c r="B383">
        <v>26</v>
      </c>
      <c r="C383" t="s">
        <v>98</v>
      </c>
      <c r="D383">
        <v>2021</v>
      </c>
      <c r="E383">
        <v>27</v>
      </c>
      <c r="F383" t="s">
        <v>19</v>
      </c>
      <c r="G383" t="s">
        <v>120</v>
      </c>
      <c r="H383" t="s">
        <v>23</v>
      </c>
      <c r="I383" t="s">
        <v>24</v>
      </c>
      <c r="J383" t="s">
        <v>17</v>
      </c>
      <c r="K383" t="s">
        <v>64</v>
      </c>
      <c r="L383">
        <v>3</v>
      </c>
      <c r="M383" s="6">
        <v>713</v>
      </c>
      <c r="N383" s="6">
        <v>1120</v>
      </c>
      <c r="O383" s="6">
        <f>Table1[[#This Row],[Unit_Price]]*Table1[[#This Row],[Order_Quantity]]</f>
        <v>3360</v>
      </c>
      <c r="P383" s="6">
        <f>Table1[[#This Row],[Unit_Cost]]*Table1[[#This Row],[Order_Quantity]]</f>
        <v>2139</v>
      </c>
      <c r="Q383" s="4">
        <f>Table1[[#This Row],[total sales]]-Table1[[#This Row],[total cost]]</f>
        <v>1221</v>
      </c>
      <c r="R383" s="6" t="s">
        <v>136</v>
      </c>
      <c r="S383" s="6" t="str">
        <f>_xlfn.CONCAT(Table1[[#This Row],[Sub_Category]],"-",Table1[[#This Row],[bike colour]])</f>
        <v>Road Bikes-yellow</v>
      </c>
    </row>
    <row r="384" spans="1:19" x14ac:dyDescent="0.3">
      <c r="A384" s="1">
        <v>44526</v>
      </c>
      <c r="B384">
        <v>26</v>
      </c>
      <c r="C384" t="s">
        <v>98</v>
      </c>
      <c r="D384">
        <v>2021</v>
      </c>
      <c r="E384">
        <v>29</v>
      </c>
      <c r="F384" t="s">
        <v>19</v>
      </c>
      <c r="G384" t="s">
        <v>122</v>
      </c>
      <c r="H384" t="s">
        <v>42</v>
      </c>
      <c r="I384" t="s">
        <v>68</v>
      </c>
      <c r="J384" t="s">
        <v>17</v>
      </c>
      <c r="K384" t="s">
        <v>38</v>
      </c>
      <c r="L384">
        <v>2</v>
      </c>
      <c r="M384" s="6">
        <v>713</v>
      </c>
      <c r="N384" s="6">
        <v>1120</v>
      </c>
      <c r="O384" s="6">
        <f>Table1[[#This Row],[Unit_Price]]*Table1[[#This Row],[Order_Quantity]]</f>
        <v>2240</v>
      </c>
      <c r="P384" s="6">
        <f>Table1[[#This Row],[Unit_Cost]]*Table1[[#This Row],[Order_Quantity]]</f>
        <v>1426</v>
      </c>
      <c r="Q384" s="4">
        <f>Table1[[#This Row],[total sales]]-Table1[[#This Row],[total cost]]</f>
        <v>814</v>
      </c>
      <c r="R384" s="6" t="s">
        <v>137</v>
      </c>
      <c r="S384" s="6" t="str">
        <f>_xlfn.CONCAT(Table1[[#This Row],[Sub_Category]],"-",Table1[[#This Row],[bike colour]])</f>
        <v>Road Bikes-red</v>
      </c>
    </row>
    <row r="385" spans="1:19" x14ac:dyDescent="0.3">
      <c r="A385" s="1">
        <v>44526</v>
      </c>
      <c r="B385">
        <v>26</v>
      </c>
      <c r="C385" t="s">
        <v>98</v>
      </c>
      <c r="D385">
        <v>2021</v>
      </c>
      <c r="E385">
        <v>17</v>
      </c>
      <c r="F385" t="s">
        <v>49</v>
      </c>
      <c r="G385" t="s">
        <v>120</v>
      </c>
      <c r="H385" t="s">
        <v>27</v>
      </c>
      <c r="I385" t="s">
        <v>33</v>
      </c>
      <c r="J385" t="s">
        <v>17</v>
      </c>
      <c r="K385" t="s">
        <v>102</v>
      </c>
      <c r="L385">
        <v>1</v>
      </c>
      <c r="M385" s="6">
        <v>713</v>
      </c>
      <c r="N385" s="6">
        <v>1120</v>
      </c>
      <c r="O385" s="6">
        <f>Table1[[#This Row],[Unit_Price]]*Table1[[#This Row],[Order_Quantity]]</f>
        <v>1120</v>
      </c>
      <c r="P385" s="6">
        <f>Table1[[#This Row],[Unit_Cost]]*Table1[[#This Row],[Order_Quantity]]</f>
        <v>713</v>
      </c>
      <c r="Q385" s="4">
        <f>Table1[[#This Row],[total sales]]-Table1[[#This Row],[total cost]]</f>
        <v>407</v>
      </c>
      <c r="R385" s="6" t="s">
        <v>137</v>
      </c>
      <c r="S385" s="6" t="str">
        <f>_xlfn.CONCAT(Table1[[#This Row],[Sub_Category]],"-",Table1[[#This Row],[bike colour]])</f>
        <v>Road Bikes-red</v>
      </c>
    </row>
    <row r="386" spans="1:19" x14ac:dyDescent="0.3">
      <c r="A386" s="1">
        <v>44526</v>
      </c>
      <c r="B386">
        <v>26</v>
      </c>
      <c r="C386" t="s">
        <v>98</v>
      </c>
      <c r="D386">
        <v>2021</v>
      </c>
      <c r="E386">
        <v>36</v>
      </c>
      <c r="F386" t="s">
        <v>14</v>
      </c>
      <c r="G386" t="s">
        <v>122</v>
      </c>
      <c r="H386" t="s">
        <v>42</v>
      </c>
      <c r="I386" t="s">
        <v>86</v>
      </c>
      <c r="J386" t="s">
        <v>25</v>
      </c>
      <c r="K386" t="s">
        <v>26</v>
      </c>
      <c r="L386">
        <v>1</v>
      </c>
      <c r="M386" s="6">
        <v>713</v>
      </c>
      <c r="N386" s="6">
        <v>1120</v>
      </c>
      <c r="O386" s="6">
        <f>Table1[[#This Row],[Unit_Price]]*Table1[[#This Row],[Order_Quantity]]</f>
        <v>1120</v>
      </c>
      <c r="P386" s="6">
        <f>Table1[[#This Row],[Unit_Cost]]*Table1[[#This Row],[Order_Quantity]]</f>
        <v>713</v>
      </c>
      <c r="Q386" s="4">
        <f>Table1[[#This Row],[total sales]]-Table1[[#This Row],[total cost]]</f>
        <v>407</v>
      </c>
      <c r="R386" s="6" t="s">
        <v>138</v>
      </c>
      <c r="S386" s="6" t="str">
        <f>_xlfn.CONCAT(Table1[[#This Row],[Sub_Category]],"-",Table1[[#This Row],[bike colour]])</f>
        <v>Mountain Bikes-black</v>
      </c>
    </row>
    <row r="387" spans="1:19" x14ac:dyDescent="0.3">
      <c r="A387" s="1">
        <v>44526</v>
      </c>
      <c r="B387">
        <v>26</v>
      </c>
      <c r="C387" t="s">
        <v>98</v>
      </c>
      <c r="D387">
        <v>2021</v>
      </c>
      <c r="E387">
        <v>41</v>
      </c>
      <c r="F387" t="s">
        <v>14</v>
      </c>
      <c r="G387" t="s">
        <v>120</v>
      </c>
      <c r="H387" t="s">
        <v>42</v>
      </c>
      <c r="I387" t="s">
        <v>58</v>
      </c>
      <c r="J387" t="s">
        <v>25</v>
      </c>
      <c r="K387" t="s">
        <v>62</v>
      </c>
      <c r="L387">
        <v>1</v>
      </c>
      <c r="M387" s="6">
        <v>713</v>
      </c>
      <c r="N387" s="6">
        <v>1120</v>
      </c>
      <c r="O387" s="6">
        <f>Table1[[#This Row],[Unit_Price]]*Table1[[#This Row],[Order_Quantity]]</f>
        <v>1120</v>
      </c>
      <c r="P387" s="6">
        <f>Table1[[#This Row],[Unit_Cost]]*Table1[[#This Row],[Order_Quantity]]</f>
        <v>713</v>
      </c>
      <c r="Q387" s="4">
        <f>Table1[[#This Row],[total sales]]-Table1[[#This Row],[total cost]]</f>
        <v>407</v>
      </c>
      <c r="R387" s="6" t="s">
        <v>139</v>
      </c>
      <c r="S387" s="6" t="str">
        <f>_xlfn.CONCAT(Table1[[#This Row],[Sub_Category]],"-",Table1[[#This Row],[bike colour]])</f>
        <v>Mountain Bikes-silver</v>
      </c>
    </row>
    <row r="388" spans="1:19" x14ac:dyDescent="0.3">
      <c r="A388" s="1">
        <v>44526</v>
      </c>
      <c r="B388">
        <v>26</v>
      </c>
      <c r="C388" t="s">
        <v>98</v>
      </c>
      <c r="D388">
        <v>2021</v>
      </c>
      <c r="E388">
        <v>61</v>
      </c>
      <c r="F388" t="s">
        <v>14</v>
      </c>
      <c r="G388" t="s">
        <v>120</v>
      </c>
      <c r="H388" t="s">
        <v>15</v>
      </c>
      <c r="I388" t="s">
        <v>16</v>
      </c>
      <c r="J388" t="s">
        <v>17</v>
      </c>
      <c r="K388" t="s">
        <v>38</v>
      </c>
      <c r="L388">
        <v>1</v>
      </c>
      <c r="M388" s="6">
        <v>713</v>
      </c>
      <c r="N388" s="6">
        <v>1120</v>
      </c>
      <c r="O388" s="6">
        <f>Table1[[#This Row],[Unit_Price]]*Table1[[#This Row],[Order_Quantity]]</f>
        <v>1120</v>
      </c>
      <c r="P388" s="6">
        <f>Table1[[#This Row],[Unit_Cost]]*Table1[[#This Row],[Order_Quantity]]</f>
        <v>713</v>
      </c>
      <c r="Q388" s="4">
        <f>Table1[[#This Row],[total sales]]-Table1[[#This Row],[total cost]]</f>
        <v>407</v>
      </c>
      <c r="R388" s="6" t="s">
        <v>137</v>
      </c>
      <c r="S388" s="6" t="str">
        <f>_xlfn.CONCAT(Table1[[#This Row],[Sub_Category]],"-",Table1[[#This Row],[bike colour]])</f>
        <v>Road Bikes-red</v>
      </c>
    </row>
    <row r="389" spans="1:19" x14ac:dyDescent="0.3">
      <c r="A389" s="1">
        <v>44527</v>
      </c>
      <c r="B389">
        <v>27</v>
      </c>
      <c r="C389" t="s">
        <v>98</v>
      </c>
      <c r="D389">
        <v>2021</v>
      </c>
      <c r="E389">
        <v>28</v>
      </c>
      <c r="F389" t="s">
        <v>19</v>
      </c>
      <c r="G389" t="s">
        <v>120</v>
      </c>
      <c r="H389" t="s">
        <v>23</v>
      </c>
      <c r="I389" t="s">
        <v>24</v>
      </c>
      <c r="J389" t="s">
        <v>17</v>
      </c>
      <c r="K389" t="s">
        <v>41</v>
      </c>
      <c r="L389">
        <v>4</v>
      </c>
      <c r="M389" s="6">
        <v>713</v>
      </c>
      <c r="N389" s="6">
        <v>1120</v>
      </c>
      <c r="O389" s="6">
        <f>Table1[[#This Row],[Unit_Price]]*Table1[[#This Row],[Order_Quantity]]</f>
        <v>4480</v>
      </c>
      <c r="P389" s="6">
        <f>Table1[[#This Row],[Unit_Cost]]*Table1[[#This Row],[Order_Quantity]]</f>
        <v>2852</v>
      </c>
      <c r="Q389" s="4">
        <f>Table1[[#This Row],[total sales]]-Table1[[#This Row],[total cost]]</f>
        <v>1628</v>
      </c>
      <c r="R389" s="6" t="s">
        <v>138</v>
      </c>
      <c r="S389" s="6" t="str">
        <f>_xlfn.CONCAT(Table1[[#This Row],[Sub_Category]],"-",Table1[[#This Row],[bike colour]])</f>
        <v>Road Bikes-black</v>
      </c>
    </row>
    <row r="390" spans="1:19" x14ac:dyDescent="0.3">
      <c r="A390" s="1">
        <v>44527</v>
      </c>
      <c r="B390">
        <v>27</v>
      </c>
      <c r="C390" t="s">
        <v>98</v>
      </c>
      <c r="D390">
        <v>2021</v>
      </c>
      <c r="E390">
        <v>26</v>
      </c>
      <c r="F390" t="s">
        <v>19</v>
      </c>
      <c r="G390" t="s">
        <v>122</v>
      </c>
      <c r="H390" t="s">
        <v>50</v>
      </c>
      <c r="I390" t="s">
        <v>90</v>
      </c>
      <c r="J390" t="s">
        <v>17</v>
      </c>
      <c r="K390" t="s">
        <v>29</v>
      </c>
      <c r="L390">
        <v>3</v>
      </c>
      <c r="M390" s="6">
        <v>713</v>
      </c>
      <c r="N390" s="6">
        <v>1120</v>
      </c>
      <c r="O390" s="6">
        <f>Table1[[#This Row],[Unit_Price]]*Table1[[#This Row],[Order_Quantity]]</f>
        <v>3360</v>
      </c>
      <c r="P390" s="6">
        <f>Table1[[#This Row],[Unit_Cost]]*Table1[[#This Row],[Order_Quantity]]</f>
        <v>2139</v>
      </c>
      <c r="Q390" s="4">
        <f>Table1[[#This Row],[total sales]]-Table1[[#This Row],[total cost]]</f>
        <v>1221</v>
      </c>
      <c r="R390" s="6" t="s">
        <v>136</v>
      </c>
      <c r="S390" s="6" t="str">
        <f>_xlfn.CONCAT(Table1[[#This Row],[Sub_Category]],"-",Table1[[#This Row],[bike colour]])</f>
        <v>Road Bikes-yellow</v>
      </c>
    </row>
    <row r="391" spans="1:19" x14ac:dyDescent="0.3">
      <c r="A391" s="1">
        <v>44527</v>
      </c>
      <c r="B391">
        <v>27</v>
      </c>
      <c r="C391" t="s">
        <v>98</v>
      </c>
      <c r="D391">
        <v>2021</v>
      </c>
      <c r="E391">
        <v>27</v>
      </c>
      <c r="F391" t="s">
        <v>19</v>
      </c>
      <c r="G391" t="s">
        <v>122</v>
      </c>
      <c r="H391" t="s">
        <v>20</v>
      </c>
      <c r="I391" t="s">
        <v>21</v>
      </c>
      <c r="J391" t="s">
        <v>17</v>
      </c>
      <c r="K391" t="s">
        <v>22</v>
      </c>
      <c r="L391">
        <v>3</v>
      </c>
      <c r="M391" s="6">
        <v>713</v>
      </c>
      <c r="N391" s="6">
        <v>1120</v>
      </c>
      <c r="O391" s="6">
        <f>Table1[[#This Row],[Unit_Price]]*Table1[[#This Row],[Order_Quantity]]</f>
        <v>3360</v>
      </c>
      <c r="P391" s="6">
        <f>Table1[[#This Row],[Unit_Cost]]*Table1[[#This Row],[Order_Quantity]]</f>
        <v>2139</v>
      </c>
      <c r="Q391" s="4">
        <f>Table1[[#This Row],[total sales]]-Table1[[#This Row],[total cost]]</f>
        <v>1221</v>
      </c>
      <c r="R391" s="6" t="s">
        <v>137</v>
      </c>
      <c r="S391" s="6" t="str">
        <f>_xlfn.CONCAT(Table1[[#This Row],[Sub_Category]],"-",Table1[[#This Row],[bike colour]])</f>
        <v>Road Bikes-red</v>
      </c>
    </row>
    <row r="392" spans="1:19" x14ac:dyDescent="0.3">
      <c r="A392" s="1">
        <v>44527</v>
      </c>
      <c r="B392">
        <v>27</v>
      </c>
      <c r="C392" t="s">
        <v>98</v>
      </c>
      <c r="D392">
        <v>2021</v>
      </c>
      <c r="E392">
        <v>39</v>
      </c>
      <c r="F392" t="s">
        <v>14</v>
      </c>
      <c r="G392" t="s">
        <v>120</v>
      </c>
      <c r="H392" t="s">
        <v>50</v>
      </c>
      <c r="I392" t="s">
        <v>53</v>
      </c>
      <c r="J392" t="s">
        <v>17</v>
      </c>
      <c r="K392" t="s">
        <v>29</v>
      </c>
      <c r="L392">
        <v>3</v>
      </c>
      <c r="M392" s="6">
        <v>713</v>
      </c>
      <c r="N392" s="6">
        <v>1120</v>
      </c>
      <c r="O392" s="6">
        <f>Table1[[#This Row],[Unit_Price]]*Table1[[#This Row],[Order_Quantity]]</f>
        <v>3360</v>
      </c>
      <c r="P392" s="6">
        <f>Table1[[#This Row],[Unit_Cost]]*Table1[[#This Row],[Order_Quantity]]</f>
        <v>2139</v>
      </c>
      <c r="Q392" s="4">
        <f>Table1[[#This Row],[total sales]]-Table1[[#This Row],[total cost]]</f>
        <v>1221</v>
      </c>
      <c r="R392" s="6" t="s">
        <v>136</v>
      </c>
      <c r="S392" s="6" t="str">
        <f>_xlfn.CONCAT(Table1[[#This Row],[Sub_Category]],"-",Table1[[#This Row],[bike colour]])</f>
        <v>Road Bikes-yellow</v>
      </c>
    </row>
    <row r="393" spans="1:19" x14ac:dyDescent="0.3">
      <c r="A393" s="1">
        <v>44527</v>
      </c>
      <c r="B393">
        <v>27</v>
      </c>
      <c r="C393" t="s">
        <v>98</v>
      </c>
      <c r="D393">
        <v>2021</v>
      </c>
      <c r="E393">
        <v>56</v>
      </c>
      <c r="F393" t="s">
        <v>14</v>
      </c>
      <c r="G393" t="s">
        <v>120</v>
      </c>
      <c r="H393" t="s">
        <v>15</v>
      </c>
      <c r="I393" t="s">
        <v>47</v>
      </c>
      <c r="J393" t="s">
        <v>17</v>
      </c>
      <c r="K393" t="s">
        <v>55</v>
      </c>
      <c r="L393">
        <v>3</v>
      </c>
      <c r="M393" s="6">
        <v>713</v>
      </c>
      <c r="N393" s="6">
        <v>1120</v>
      </c>
      <c r="O393" s="6">
        <f>Table1[[#This Row],[Unit_Price]]*Table1[[#This Row],[Order_Quantity]]</f>
        <v>3360</v>
      </c>
      <c r="P393" s="6">
        <f>Table1[[#This Row],[Unit_Cost]]*Table1[[#This Row],[Order_Quantity]]</f>
        <v>2139</v>
      </c>
      <c r="Q393" s="4">
        <f>Table1[[#This Row],[total sales]]-Table1[[#This Row],[total cost]]</f>
        <v>1221</v>
      </c>
      <c r="R393" s="6" t="s">
        <v>138</v>
      </c>
      <c r="S393" s="6" t="str">
        <f>_xlfn.CONCAT(Table1[[#This Row],[Sub_Category]],"-",Table1[[#This Row],[bike colour]])</f>
        <v>Road Bikes-black</v>
      </c>
    </row>
    <row r="394" spans="1:19" x14ac:dyDescent="0.3">
      <c r="A394" s="1">
        <v>44527</v>
      </c>
      <c r="B394">
        <v>27</v>
      </c>
      <c r="C394" t="s">
        <v>98</v>
      </c>
      <c r="D394">
        <v>2021</v>
      </c>
      <c r="E394">
        <v>24</v>
      </c>
      <c r="F394" t="s">
        <v>49</v>
      </c>
      <c r="G394" t="s">
        <v>120</v>
      </c>
      <c r="H394" t="s">
        <v>27</v>
      </c>
      <c r="I394" t="s">
        <v>45</v>
      </c>
      <c r="J394" t="s">
        <v>17</v>
      </c>
      <c r="K394" t="s">
        <v>18</v>
      </c>
      <c r="L394">
        <v>2</v>
      </c>
      <c r="M394" s="6">
        <v>713</v>
      </c>
      <c r="N394" s="6">
        <v>1120</v>
      </c>
      <c r="O394" s="6">
        <f>Table1[[#This Row],[Unit_Price]]*Table1[[#This Row],[Order_Quantity]]</f>
        <v>2240</v>
      </c>
      <c r="P394" s="6">
        <f>Table1[[#This Row],[Unit_Cost]]*Table1[[#This Row],[Order_Quantity]]</f>
        <v>1426</v>
      </c>
      <c r="Q394" s="4">
        <f>Table1[[#This Row],[total sales]]-Table1[[#This Row],[total cost]]</f>
        <v>814</v>
      </c>
      <c r="R394" s="6" t="s">
        <v>136</v>
      </c>
      <c r="S394" s="6" t="str">
        <f>_xlfn.CONCAT(Table1[[#This Row],[Sub_Category]],"-",Table1[[#This Row],[bike colour]])</f>
        <v>Road Bikes-yellow</v>
      </c>
    </row>
    <row r="395" spans="1:19" x14ac:dyDescent="0.3">
      <c r="A395" s="1">
        <v>44527</v>
      </c>
      <c r="B395">
        <v>27</v>
      </c>
      <c r="C395" t="s">
        <v>98</v>
      </c>
      <c r="D395">
        <v>2021</v>
      </c>
      <c r="E395">
        <v>27</v>
      </c>
      <c r="F395" t="s">
        <v>19</v>
      </c>
      <c r="G395" t="s">
        <v>122</v>
      </c>
      <c r="H395" t="s">
        <v>20</v>
      </c>
      <c r="I395" t="s">
        <v>21</v>
      </c>
      <c r="J395" t="s">
        <v>17</v>
      </c>
      <c r="K395" t="s">
        <v>22</v>
      </c>
      <c r="L395">
        <v>2</v>
      </c>
      <c r="M395" s="6">
        <v>713</v>
      </c>
      <c r="N395" s="6">
        <v>1120</v>
      </c>
      <c r="O395" s="6">
        <f>Table1[[#This Row],[Unit_Price]]*Table1[[#This Row],[Order_Quantity]]</f>
        <v>2240</v>
      </c>
      <c r="P395" s="6">
        <f>Table1[[#This Row],[Unit_Cost]]*Table1[[#This Row],[Order_Quantity]]</f>
        <v>1426</v>
      </c>
      <c r="Q395" s="4">
        <f>Table1[[#This Row],[total sales]]-Table1[[#This Row],[total cost]]</f>
        <v>814</v>
      </c>
      <c r="R395" s="6" t="s">
        <v>137</v>
      </c>
      <c r="S395" s="6" t="str">
        <f>_xlfn.CONCAT(Table1[[#This Row],[Sub_Category]],"-",Table1[[#This Row],[bike colour]])</f>
        <v>Road Bikes-red</v>
      </c>
    </row>
    <row r="396" spans="1:19" x14ac:dyDescent="0.3">
      <c r="A396" s="1">
        <v>44527</v>
      </c>
      <c r="B396">
        <v>27</v>
      </c>
      <c r="C396" t="s">
        <v>98</v>
      </c>
      <c r="D396">
        <v>2021</v>
      </c>
      <c r="E396">
        <v>29</v>
      </c>
      <c r="F396" t="s">
        <v>19</v>
      </c>
      <c r="G396" t="s">
        <v>122</v>
      </c>
      <c r="H396" t="s">
        <v>50</v>
      </c>
      <c r="I396" t="s">
        <v>90</v>
      </c>
      <c r="J396" t="s">
        <v>17</v>
      </c>
      <c r="K396" t="s">
        <v>46</v>
      </c>
      <c r="L396">
        <v>2</v>
      </c>
      <c r="M396" s="6">
        <v>713</v>
      </c>
      <c r="N396" s="6">
        <v>1120</v>
      </c>
      <c r="O396" s="6">
        <f>Table1[[#This Row],[Unit_Price]]*Table1[[#This Row],[Order_Quantity]]</f>
        <v>2240</v>
      </c>
      <c r="P396" s="6">
        <f>Table1[[#This Row],[Unit_Cost]]*Table1[[#This Row],[Order_Quantity]]</f>
        <v>1426</v>
      </c>
      <c r="Q396" s="4">
        <f>Table1[[#This Row],[total sales]]-Table1[[#This Row],[total cost]]</f>
        <v>814</v>
      </c>
      <c r="R396" s="6" t="s">
        <v>137</v>
      </c>
      <c r="S396" s="6" t="str">
        <f>_xlfn.CONCAT(Table1[[#This Row],[Sub_Category]],"-",Table1[[#This Row],[bike colour]])</f>
        <v>Road Bikes-red</v>
      </c>
    </row>
    <row r="397" spans="1:19" x14ac:dyDescent="0.3">
      <c r="A397" s="1">
        <v>44527</v>
      </c>
      <c r="B397">
        <v>27</v>
      </c>
      <c r="C397" t="s">
        <v>98</v>
      </c>
      <c r="D397">
        <v>2021</v>
      </c>
      <c r="E397">
        <v>49</v>
      </c>
      <c r="F397" t="s">
        <v>14</v>
      </c>
      <c r="G397" t="s">
        <v>120</v>
      </c>
      <c r="H397" t="s">
        <v>20</v>
      </c>
      <c r="I397" t="s">
        <v>21</v>
      </c>
      <c r="J397" t="s">
        <v>17</v>
      </c>
      <c r="K397" t="s">
        <v>75</v>
      </c>
      <c r="L397">
        <v>2</v>
      </c>
      <c r="M397" s="6">
        <v>713</v>
      </c>
      <c r="N397" s="6">
        <v>1120</v>
      </c>
      <c r="O397" s="6">
        <f>Table1[[#This Row],[Unit_Price]]*Table1[[#This Row],[Order_Quantity]]</f>
        <v>2240</v>
      </c>
      <c r="P397" s="6">
        <f>Table1[[#This Row],[Unit_Cost]]*Table1[[#This Row],[Order_Quantity]]</f>
        <v>1426</v>
      </c>
      <c r="Q397" s="4">
        <f>Table1[[#This Row],[total sales]]-Table1[[#This Row],[total cost]]</f>
        <v>814</v>
      </c>
      <c r="R397" s="6" t="s">
        <v>137</v>
      </c>
      <c r="S397" s="6" t="str">
        <f>_xlfn.CONCAT(Table1[[#This Row],[Sub_Category]],"-",Table1[[#This Row],[bike colour]])</f>
        <v>Road Bikes-red</v>
      </c>
    </row>
    <row r="398" spans="1:19" x14ac:dyDescent="0.3">
      <c r="A398" s="1">
        <v>44527</v>
      </c>
      <c r="B398">
        <v>27</v>
      </c>
      <c r="C398" t="s">
        <v>98</v>
      </c>
      <c r="D398">
        <v>2021</v>
      </c>
      <c r="E398">
        <v>24</v>
      </c>
      <c r="F398" t="s">
        <v>49</v>
      </c>
      <c r="G398" t="s">
        <v>120</v>
      </c>
      <c r="H398" t="s">
        <v>27</v>
      </c>
      <c r="I398" t="s">
        <v>28</v>
      </c>
      <c r="J398" t="s">
        <v>17</v>
      </c>
      <c r="K398" t="s">
        <v>81</v>
      </c>
      <c r="L398">
        <v>1</v>
      </c>
      <c r="M398" s="6">
        <v>713</v>
      </c>
      <c r="N398" s="6">
        <v>1120</v>
      </c>
      <c r="O398" s="6">
        <f>Table1[[#This Row],[Unit_Price]]*Table1[[#This Row],[Order_Quantity]]</f>
        <v>1120</v>
      </c>
      <c r="P398" s="6">
        <f>Table1[[#This Row],[Unit_Cost]]*Table1[[#This Row],[Order_Quantity]]</f>
        <v>713</v>
      </c>
      <c r="Q398" s="4">
        <f>Table1[[#This Row],[total sales]]-Table1[[#This Row],[total cost]]</f>
        <v>407</v>
      </c>
      <c r="R398" s="6" t="s">
        <v>136</v>
      </c>
      <c r="S398" s="6" t="str">
        <f>_xlfn.CONCAT(Table1[[#This Row],[Sub_Category]],"-",Table1[[#This Row],[bike colour]])</f>
        <v>Road Bikes-yellow</v>
      </c>
    </row>
    <row r="399" spans="1:19" x14ac:dyDescent="0.3">
      <c r="A399" s="1">
        <v>44527</v>
      </c>
      <c r="B399">
        <v>27</v>
      </c>
      <c r="C399" t="s">
        <v>98</v>
      </c>
      <c r="D399">
        <v>2021</v>
      </c>
      <c r="E399">
        <v>25</v>
      </c>
      <c r="F399" t="s">
        <v>19</v>
      </c>
      <c r="G399" t="s">
        <v>122</v>
      </c>
      <c r="H399" t="s">
        <v>27</v>
      </c>
      <c r="I399" t="s">
        <v>33</v>
      </c>
      <c r="J399" t="s">
        <v>17</v>
      </c>
      <c r="K399" t="s">
        <v>91</v>
      </c>
      <c r="L399">
        <v>1</v>
      </c>
      <c r="M399" s="6">
        <v>713</v>
      </c>
      <c r="N399" s="6">
        <v>1120</v>
      </c>
      <c r="O399" s="6">
        <f>Table1[[#This Row],[Unit_Price]]*Table1[[#This Row],[Order_Quantity]]</f>
        <v>1120</v>
      </c>
      <c r="P399" s="6">
        <f>Table1[[#This Row],[Unit_Cost]]*Table1[[#This Row],[Order_Quantity]]</f>
        <v>713</v>
      </c>
      <c r="Q399" s="4">
        <f>Table1[[#This Row],[total sales]]-Table1[[#This Row],[total cost]]</f>
        <v>407</v>
      </c>
      <c r="R399" s="6" t="s">
        <v>136</v>
      </c>
      <c r="S399" s="6" t="str">
        <f>_xlfn.CONCAT(Table1[[#This Row],[Sub_Category]],"-",Table1[[#This Row],[bike colour]])</f>
        <v>Road Bikes-yellow</v>
      </c>
    </row>
    <row r="400" spans="1:19" x14ac:dyDescent="0.3">
      <c r="A400" s="1">
        <v>44527</v>
      </c>
      <c r="B400">
        <v>27</v>
      </c>
      <c r="C400" t="s">
        <v>98</v>
      </c>
      <c r="D400">
        <v>2021</v>
      </c>
      <c r="E400">
        <v>27</v>
      </c>
      <c r="F400" t="s">
        <v>19</v>
      </c>
      <c r="G400" t="s">
        <v>122</v>
      </c>
      <c r="H400" t="s">
        <v>20</v>
      </c>
      <c r="I400" t="s">
        <v>21</v>
      </c>
      <c r="J400" t="s">
        <v>17</v>
      </c>
      <c r="K400" t="s">
        <v>22</v>
      </c>
      <c r="L400">
        <v>1</v>
      </c>
      <c r="M400" s="6">
        <v>713</v>
      </c>
      <c r="N400" s="6">
        <v>1120</v>
      </c>
      <c r="O400" s="6">
        <f>Table1[[#This Row],[Unit_Price]]*Table1[[#This Row],[Order_Quantity]]</f>
        <v>1120</v>
      </c>
      <c r="P400" s="6">
        <f>Table1[[#This Row],[Unit_Cost]]*Table1[[#This Row],[Order_Quantity]]</f>
        <v>713</v>
      </c>
      <c r="Q400" s="4">
        <f>Table1[[#This Row],[total sales]]-Table1[[#This Row],[total cost]]</f>
        <v>407</v>
      </c>
      <c r="R400" s="6" t="s">
        <v>137</v>
      </c>
      <c r="S400" s="6" t="str">
        <f>_xlfn.CONCAT(Table1[[#This Row],[Sub_Category]],"-",Table1[[#This Row],[bike colour]])</f>
        <v>Road Bikes-red</v>
      </c>
    </row>
    <row r="401" spans="1:19" x14ac:dyDescent="0.3">
      <c r="A401" s="1">
        <v>44527</v>
      </c>
      <c r="B401">
        <v>27</v>
      </c>
      <c r="C401" t="s">
        <v>98</v>
      </c>
      <c r="D401">
        <v>2021</v>
      </c>
      <c r="E401">
        <v>29</v>
      </c>
      <c r="F401" t="s">
        <v>19</v>
      </c>
      <c r="G401" t="s">
        <v>120</v>
      </c>
      <c r="H401" t="s">
        <v>15</v>
      </c>
      <c r="I401" t="s">
        <v>47</v>
      </c>
      <c r="J401" t="s">
        <v>17</v>
      </c>
      <c r="K401" t="s">
        <v>75</v>
      </c>
      <c r="L401">
        <v>1</v>
      </c>
      <c r="M401" s="6">
        <v>713</v>
      </c>
      <c r="N401" s="6">
        <v>1120</v>
      </c>
      <c r="O401" s="6">
        <f>Table1[[#This Row],[Unit_Price]]*Table1[[#This Row],[Order_Quantity]]</f>
        <v>1120</v>
      </c>
      <c r="P401" s="6">
        <f>Table1[[#This Row],[Unit_Cost]]*Table1[[#This Row],[Order_Quantity]]</f>
        <v>713</v>
      </c>
      <c r="Q401" s="4">
        <f>Table1[[#This Row],[total sales]]-Table1[[#This Row],[total cost]]</f>
        <v>407</v>
      </c>
      <c r="R401" s="6" t="s">
        <v>137</v>
      </c>
      <c r="S401" s="6" t="str">
        <f>_xlfn.CONCAT(Table1[[#This Row],[Sub_Category]],"-",Table1[[#This Row],[bike colour]])</f>
        <v>Road Bikes-red</v>
      </c>
    </row>
    <row r="402" spans="1:19" x14ac:dyDescent="0.3">
      <c r="A402" s="1">
        <v>44527</v>
      </c>
      <c r="B402">
        <v>27</v>
      </c>
      <c r="C402" t="s">
        <v>98</v>
      </c>
      <c r="D402">
        <v>2021</v>
      </c>
      <c r="E402">
        <v>38</v>
      </c>
      <c r="F402" t="s">
        <v>14</v>
      </c>
      <c r="G402" t="s">
        <v>122</v>
      </c>
      <c r="H402" t="s">
        <v>50</v>
      </c>
      <c r="I402" t="s">
        <v>94</v>
      </c>
      <c r="J402" t="s">
        <v>17</v>
      </c>
      <c r="K402" t="s">
        <v>36</v>
      </c>
      <c r="L402">
        <v>1</v>
      </c>
      <c r="M402" s="6">
        <v>713</v>
      </c>
      <c r="N402" s="6">
        <v>1120</v>
      </c>
      <c r="O402" s="6">
        <f>Table1[[#This Row],[Unit_Price]]*Table1[[#This Row],[Order_Quantity]]</f>
        <v>1120</v>
      </c>
      <c r="P402" s="6">
        <f>Table1[[#This Row],[Unit_Cost]]*Table1[[#This Row],[Order_Quantity]]</f>
        <v>713</v>
      </c>
      <c r="Q402" s="4">
        <f>Table1[[#This Row],[total sales]]-Table1[[#This Row],[total cost]]</f>
        <v>407</v>
      </c>
      <c r="R402" s="6" t="s">
        <v>136</v>
      </c>
      <c r="S402" s="6" t="str">
        <f>_xlfn.CONCAT(Table1[[#This Row],[Sub_Category]],"-",Table1[[#This Row],[bike colour]])</f>
        <v>Road Bikes-yellow</v>
      </c>
    </row>
    <row r="403" spans="1:19" x14ac:dyDescent="0.3">
      <c r="A403" s="1">
        <v>44528</v>
      </c>
      <c r="B403">
        <v>28</v>
      </c>
      <c r="C403" t="s">
        <v>98</v>
      </c>
      <c r="D403">
        <v>2021</v>
      </c>
      <c r="E403">
        <v>20</v>
      </c>
      <c r="F403" t="s">
        <v>49</v>
      </c>
      <c r="G403" t="s">
        <v>122</v>
      </c>
      <c r="H403" t="s">
        <v>27</v>
      </c>
      <c r="I403" t="s">
        <v>33</v>
      </c>
      <c r="J403" t="s">
        <v>17</v>
      </c>
      <c r="K403" t="s">
        <v>55</v>
      </c>
      <c r="L403">
        <v>3</v>
      </c>
      <c r="M403" s="6">
        <v>713</v>
      </c>
      <c r="N403" s="6">
        <v>1120</v>
      </c>
      <c r="O403" s="6">
        <f>Table1[[#This Row],[Unit_Price]]*Table1[[#This Row],[Order_Quantity]]</f>
        <v>3360</v>
      </c>
      <c r="P403" s="6">
        <f>Table1[[#This Row],[Unit_Cost]]*Table1[[#This Row],[Order_Quantity]]</f>
        <v>2139</v>
      </c>
      <c r="Q403" s="4">
        <f>Table1[[#This Row],[total sales]]-Table1[[#This Row],[total cost]]</f>
        <v>1221</v>
      </c>
      <c r="R403" s="6" t="s">
        <v>138</v>
      </c>
      <c r="S403" s="6" t="str">
        <f>_xlfn.CONCAT(Table1[[#This Row],[Sub_Category]],"-",Table1[[#This Row],[bike colour]])</f>
        <v>Road Bikes-black</v>
      </c>
    </row>
    <row r="404" spans="1:19" x14ac:dyDescent="0.3">
      <c r="A404" s="1">
        <v>44528</v>
      </c>
      <c r="B404">
        <v>28</v>
      </c>
      <c r="C404" t="s">
        <v>98</v>
      </c>
      <c r="D404">
        <v>2021</v>
      </c>
      <c r="E404">
        <v>40</v>
      </c>
      <c r="F404" t="s">
        <v>14</v>
      </c>
      <c r="G404" t="s">
        <v>120</v>
      </c>
      <c r="H404" t="s">
        <v>27</v>
      </c>
      <c r="I404" t="s">
        <v>28</v>
      </c>
      <c r="J404" t="s">
        <v>25</v>
      </c>
      <c r="K404" t="s">
        <v>26</v>
      </c>
      <c r="L404">
        <v>2</v>
      </c>
      <c r="M404" s="6">
        <v>713</v>
      </c>
      <c r="N404" s="6">
        <v>1120</v>
      </c>
      <c r="O404" s="6">
        <f>Table1[[#This Row],[Unit_Price]]*Table1[[#This Row],[Order_Quantity]]</f>
        <v>2240</v>
      </c>
      <c r="P404" s="6">
        <f>Table1[[#This Row],[Unit_Cost]]*Table1[[#This Row],[Order_Quantity]]</f>
        <v>1426</v>
      </c>
      <c r="Q404" s="4">
        <f>Table1[[#This Row],[total sales]]-Table1[[#This Row],[total cost]]</f>
        <v>814</v>
      </c>
      <c r="R404" s="6" t="s">
        <v>138</v>
      </c>
      <c r="S404" s="6" t="str">
        <f>_xlfn.CONCAT(Table1[[#This Row],[Sub_Category]],"-",Table1[[#This Row],[bike colour]])</f>
        <v>Mountain Bikes-black</v>
      </c>
    </row>
    <row r="405" spans="1:19" x14ac:dyDescent="0.3">
      <c r="A405" s="1">
        <v>44528</v>
      </c>
      <c r="B405">
        <v>28</v>
      </c>
      <c r="C405" t="s">
        <v>98</v>
      </c>
      <c r="D405">
        <v>2021</v>
      </c>
      <c r="E405">
        <v>59</v>
      </c>
      <c r="F405" t="s">
        <v>14</v>
      </c>
      <c r="G405" t="s">
        <v>120</v>
      </c>
      <c r="H405" t="s">
        <v>23</v>
      </c>
      <c r="I405" t="s">
        <v>24</v>
      </c>
      <c r="J405" t="s">
        <v>17</v>
      </c>
      <c r="K405" t="s">
        <v>75</v>
      </c>
      <c r="L405">
        <v>2</v>
      </c>
      <c r="M405" s="6">
        <v>713</v>
      </c>
      <c r="N405" s="6">
        <v>1120</v>
      </c>
      <c r="O405" s="6">
        <f>Table1[[#This Row],[Unit_Price]]*Table1[[#This Row],[Order_Quantity]]</f>
        <v>2240</v>
      </c>
      <c r="P405" s="6">
        <f>Table1[[#This Row],[Unit_Cost]]*Table1[[#This Row],[Order_Quantity]]</f>
        <v>1426</v>
      </c>
      <c r="Q405" s="4">
        <f>Table1[[#This Row],[total sales]]-Table1[[#This Row],[total cost]]</f>
        <v>814</v>
      </c>
      <c r="R405" s="6" t="s">
        <v>137</v>
      </c>
      <c r="S405" s="6" t="str">
        <f>_xlfn.CONCAT(Table1[[#This Row],[Sub_Category]],"-",Table1[[#This Row],[bike colour]])</f>
        <v>Road Bikes-red</v>
      </c>
    </row>
    <row r="406" spans="1:19" x14ac:dyDescent="0.3">
      <c r="A406" s="1">
        <v>44528</v>
      </c>
      <c r="B406">
        <v>28</v>
      </c>
      <c r="C406" t="s">
        <v>98</v>
      </c>
      <c r="D406">
        <v>2021</v>
      </c>
      <c r="E406">
        <v>27</v>
      </c>
      <c r="F406" t="s">
        <v>19</v>
      </c>
      <c r="G406" t="s">
        <v>120</v>
      </c>
      <c r="H406" t="s">
        <v>20</v>
      </c>
      <c r="I406" t="s">
        <v>21</v>
      </c>
      <c r="J406" t="s">
        <v>17</v>
      </c>
      <c r="K406" t="s">
        <v>44</v>
      </c>
      <c r="L406">
        <v>1</v>
      </c>
      <c r="M406" s="6">
        <v>713</v>
      </c>
      <c r="N406" s="6">
        <v>1120</v>
      </c>
      <c r="O406" s="6">
        <f>Table1[[#This Row],[Unit_Price]]*Table1[[#This Row],[Order_Quantity]]</f>
        <v>1120</v>
      </c>
      <c r="P406" s="6">
        <f>Table1[[#This Row],[Unit_Cost]]*Table1[[#This Row],[Order_Quantity]]</f>
        <v>713</v>
      </c>
      <c r="Q406" s="4">
        <f>Table1[[#This Row],[total sales]]-Table1[[#This Row],[total cost]]</f>
        <v>407</v>
      </c>
      <c r="R406" s="6" t="s">
        <v>136</v>
      </c>
      <c r="S406" s="6" t="str">
        <f>_xlfn.CONCAT(Table1[[#This Row],[Sub_Category]],"-",Table1[[#This Row],[bike colour]])</f>
        <v>Road Bikes-yellow</v>
      </c>
    </row>
    <row r="407" spans="1:19" x14ac:dyDescent="0.3">
      <c r="A407" s="1">
        <v>44528</v>
      </c>
      <c r="B407">
        <v>28</v>
      </c>
      <c r="C407" t="s">
        <v>98</v>
      </c>
      <c r="D407">
        <v>2021</v>
      </c>
      <c r="E407">
        <v>28</v>
      </c>
      <c r="F407" t="s">
        <v>19</v>
      </c>
      <c r="G407" t="s">
        <v>120</v>
      </c>
      <c r="H407" t="s">
        <v>23</v>
      </c>
      <c r="I407" t="s">
        <v>24</v>
      </c>
      <c r="J407" t="s">
        <v>17</v>
      </c>
      <c r="K407" t="s">
        <v>41</v>
      </c>
      <c r="L407">
        <v>1</v>
      </c>
      <c r="M407" s="6">
        <v>713</v>
      </c>
      <c r="N407" s="6">
        <v>1120</v>
      </c>
      <c r="O407" s="6">
        <f>Table1[[#This Row],[Unit_Price]]*Table1[[#This Row],[Order_Quantity]]</f>
        <v>1120</v>
      </c>
      <c r="P407" s="6">
        <f>Table1[[#This Row],[Unit_Cost]]*Table1[[#This Row],[Order_Quantity]]</f>
        <v>713</v>
      </c>
      <c r="Q407" s="4">
        <f>Table1[[#This Row],[total sales]]-Table1[[#This Row],[total cost]]</f>
        <v>407</v>
      </c>
      <c r="R407" s="6" t="s">
        <v>138</v>
      </c>
      <c r="S407" s="6" t="str">
        <f>_xlfn.CONCAT(Table1[[#This Row],[Sub_Category]],"-",Table1[[#This Row],[bike colour]])</f>
        <v>Road Bikes-black</v>
      </c>
    </row>
    <row r="408" spans="1:19" x14ac:dyDescent="0.3">
      <c r="A408" s="1">
        <v>44528</v>
      </c>
      <c r="B408">
        <v>28</v>
      </c>
      <c r="C408" t="s">
        <v>98</v>
      </c>
      <c r="D408">
        <v>2021</v>
      </c>
      <c r="E408">
        <v>31</v>
      </c>
      <c r="F408" t="s">
        <v>19</v>
      </c>
      <c r="G408" t="s">
        <v>122</v>
      </c>
      <c r="H408" t="s">
        <v>15</v>
      </c>
      <c r="I408" t="s">
        <v>47</v>
      </c>
      <c r="J408" t="s">
        <v>17</v>
      </c>
      <c r="K408" t="s">
        <v>105</v>
      </c>
      <c r="L408">
        <v>1</v>
      </c>
      <c r="M408" s="6">
        <v>713</v>
      </c>
      <c r="N408" s="6">
        <v>1120</v>
      </c>
      <c r="O408" s="6">
        <f>Table1[[#This Row],[Unit_Price]]*Table1[[#This Row],[Order_Quantity]]</f>
        <v>1120</v>
      </c>
      <c r="P408" s="6">
        <f>Table1[[#This Row],[Unit_Cost]]*Table1[[#This Row],[Order_Quantity]]</f>
        <v>713</v>
      </c>
      <c r="Q408" s="4">
        <f>Table1[[#This Row],[total sales]]-Table1[[#This Row],[total cost]]</f>
        <v>407</v>
      </c>
      <c r="R408" s="6" t="s">
        <v>138</v>
      </c>
      <c r="S408" s="6" t="str">
        <f>_xlfn.CONCAT(Table1[[#This Row],[Sub_Category]],"-",Table1[[#This Row],[bike colour]])</f>
        <v>Road Bikes-black</v>
      </c>
    </row>
    <row r="409" spans="1:19" x14ac:dyDescent="0.3">
      <c r="A409" s="1">
        <v>44529</v>
      </c>
      <c r="B409">
        <v>29</v>
      </c>
      <c r="C409" t="s">
        <v>98</v>
      </c>
      <c r="D409">
        <v>2021</v>
      </c>
      <c r="E409">
        <v>17</v>
      </c>
      <c r="F409" t="s">
        <v>49</v>
      </c>
      <c r="G409" t="s">
        <v>120</v>
      </c>
      <c r="H409" t="s">
        <v>27</v>
      </c>
      <c r="I409" t="s">
        <v>76</v>
      </c>
      <c r="J409" t="s">
        <v>17</v>
      </c>
      <c r="K409" t="s">
        <v>41</v>
      </c>
      <c r="L409">
        <v>4</v>
      </c>
      <c r="M409" s="6">
        <v>713</v>
      </c>
      <c r="N409" s="6">
        <v>1120</v>
      </c>
      <c r="O409" s="6">
        <f>Table1[[#This Row],[Unit_Price]]*Table1[[#This Row],[Order_Quantity]]</f>
        <v>4480</v>
      </c>
      <c r="P409" s="6">
        <f>Table1[[#This Row],[Unit_Cost]]*Table1[[#This Row],[Order_Quantity]]</f>
        <v>2852</v>
      </c>
      <c r="Q409" s="4">
        <f>Table1[[#This Row],[total sales]]-Table1[[#This Row],[total cost]]</f>
        <v>1628</v>
      </c>
      <c r="R409" s="6" t="s">
        <v>138</v>
      </c>
      <c r="S409" s="6" t="str">
        <f>_xlfn.CONCAT(Table1[[#This Row],[Sub_Category]],"-",Table1[[#This Row],[bike colour]])</f>
        <v>Road Bikes-black</v>
      </c>
    </row>
    <row r="410" spans="1:19" x14ac:dyDescent="0.3">
      <c r="A410" s="1">
        <v>44529</v>
      </c>
      <c r="B410">
        <v>29</v>
      </c>
      <c r="C410" t="s">
        <v>98</v>
      </c>
      <c r="D410">
        <v>2021</v>
      </c>
      <c r="E410">
        <v>21</v>
      </c>
      <c r="F410" t="s">
        <v>49</v>
      </c>
      <c r="G410" t="s">
        <v>122</v>
      </c>
      <c r="H410" t="s">
        <v>27</v>
      </c>
      <c r="I410" t="s">
        <v>30</v>
      </c>
      <c r="J410" t="s">
        <v>17</v>
      </c>
      <c r="K410" t="s">
        <v>57</v>
      </c>
      <c r="L410">
        <v>4</v>
      </c>
      <c r="M410" s="6">
        <v>713</v>
      </c>
      <c r="N410" s="6">
        <v>1120</v>
      </c>
      <c r="O410" s="6">
        <f>Table1[[#This Row],[Unit_Price]]*Table1[[#This Row],[Order_Quantity]]</f>
        <v>4480</v>
      </c>
      <c r="P410" s="6">
        <f>Table1[[#This Row],[Unit_Cost]]*Table1[[#This Row],[Order_Quantity]]</f>
        <v>2852</v>
      </c>
      <c r="Q410" s="4">
        <f>Table1[[#This Row],[total sales]]-Table1[[#This Row],[total cost]]</f>
        <v>1628</v>
      </c>
      <c r="R410" s="6" t="s">
        <v>138</v>
      </c>
      <c r="S410" s="6" t="str">
        <f>_xlfn.CONCAT(Table1[[#This Row],[Sub_Category]],"-",Table1[[#This Row],[bike colour]])</f>
        <v>Road Bikes-black</v>
      </c>
    </row>
    <row r="411" spans="1:19" x14ac:dyDescent="0.3">
      <c r="A411" s="1">
        <v>44529</v>
      </c>
      <c r="B411">
        <v>29</v>
      </c>
      <c r="C411" t="s">
        <v>98</v>
      </c>
      <c r="D411">
        <v>2021</v>
      </c>
      <c r="E411">
        <v>24</v>
      </c>
      <c r="F411" t="s">
        <v>49</v>
      </c>
      <c r="G411" t="s">
        <v>120</v>
      </c>
      <c r="H411" t="s">
        <v>27</v>
      </c>
      <c r="I411" t="s">
        <v>76</v>
      </c>
      <c r="J411" t="s">
        <v>17</v>
      </c>
      <c r="K411" t="s">
        <v>44</v>
      </c>
      <c r="L411">
        <v>3</v>
      </c>
      <c r="M411" s="6">
        <v>713</v>
      </c>
      <c r="N411" s="6">
        <v>1120</v>
      </c>
      <c r="O411" s="6">
        <f>Table1[[#This Row],[Unit_Price]]*Table1[[#This Row],[Order_Quantity]]</f>
        <v>3360</v>
      </c>
      <c r="P411" s="6">
        <f>Table1[[#This Row],[Unit_Cost]]*Table1[[#This Row],[Order_Quantity]]</f>
        <v>2139</v>
      </c>
      <c r="Q411" s="4">
        <f>Table1[[#This Row],[total sales]]-Table1[[#This Row],[total cost]]</f>
        <v>1221</v>
      </c>
      <c r="R411" s="6" t="s">
        <v>136</v>
      </c>
      <c r="S411" s="6" t="str">
        <f>_xlfn.CONCAT(Table1[[#This Row],[Sub_Category]],"-",Table1[[#This Row],[bike colour]])</f>
        <v>Road Bikes-yellow</v>
      </c>
    </row>
    <row r="412" spans="1:19" x14ac:dyDescent="0.3">
      <c r="A412" s="1">
        <v>44529</v>
      </c>
      <c r="B412">
        <v>29</v>
      </c>
      <c r="C412" t="s">
        <v>98</v>
      </c>
      <c r="D412">
        <v>2021</v>
      </c>
      <c r="E412">
        <v>17</v>
      </c>
      <c r="F412" t="s">
        <v>49</v>
      </c>
      <c r="G412" t="s">
        <v>122</v>
      </c>
      <c r="H412" t="s">
        <v>50</v>
      </c>
      <c r="I412" t="s">
        <v>53</v>
      </c>
      <c r="J412" t="s">
        <v>25</v>
      </c>
      <c r="K412" t="s">
        <v>62</v>
      </c>
      <c r="L412">
        <v>1</v>
      </c>
      <c r="M412" s="6">
        <v>713</v>
      </c>
      <c r="N412" s="6">
        <v>1120</v>
      </c>
      <c r="O412" s="6">
        <f>Table1[[#This Row],[Unit_Price]]*Table1[[#This Row],[Order_Quantity]]</f>
        <v>1120</v>
      </c>
      <c r="P412" s="6">
        <f>Table1[[#This Row],[Unit_Cost]]*Table1[[#This Row],[Order_Quantity]]</f>
        <v>713</v>
      </c>
      <c r="Q412" s="4">
        <f>Table1[[#This Row],[total sales]]-Table1[[#This Row],[total cost]]</f>
        <v>407</v>
      </c>
      <c r="R412" s="6" t="s">
        <v>139</v>
      </c>
      <c r="S412" s="6" t="str">
        <f>_xlfn.CONCAT(Table1[[#This Row],[Sub_Category]],"-",Table1[[#This Row],[bike colour]])</f>
        <v>Mountain Bikes-silver</v>
      </c>
    </row>
    <row r="413" spans="1:19" x14ac:dyDescent="0.3">
      <c r="A413" s="1">
        <v>44529</v>
      </c>
      <c r="B413">
        <v>29</v>
      </c>
      <c r="C413" t="s">
        <v>98</v>
      </c>
      <c r="D413">
        <v>2021</v>
      </c>
      <c r="E413">
        <v>29</v>
      </c>
      <c r="F413" t="s">
        <v>19</v>
      </c>
      <c r="G413" t="s">
        <v>122</v>
      </c>
      <c r="H413" t="s">
        <v>50</v>
      </c>
      <c r="I413" t="s">
        <v>94</v>
      </c>
      <c r="J413" t="s">
        <v>17</v>
      </c>
      <c r="K413" t="s">
        <v>100</v>
      </c>
      <c r="L413">
        <v>1</v>
      </c>
      <c r="M413" s="6">
        <v>713</v>
      </c>
      <c r="N413" s="6">
        <v>1120</v>
      </c>
      <c r="O413" s="6">
        <f>Table1[[#This Row],[Unit_Price]]*Table1[[#This Row],[Order_Quantity]]</f>
        <v>1120</v>
      </c>
      <c r="P413" s="6">
        <f>Table1[[#This Row],[Unit_Cost]]*Table1[[#This Row],[Order_Quantity]]</f>
        <v>713</v>
      </c>
      <c r="Q413" s="4">
        <f>Table1[[#This Row],[total sales]]-Table1[[#This Row],[total cost]]</f>
        <v>407</v>
      </c>
      <c r="R413" s="6" t="s">
        <v>138</v>
      </c>
      <c r="S413" s="6" t="str">
        <f>_xlfn.CONCAT(Table1[[#This Row],[Sub_Category]],"-",Table1[[#This Row],[bike colour]])</f>
        <v>Road Bikes-black</v>
      </c>
    </row>
    <row r="414" spans="1:19" x14ac:dyDescent="0.3">
      <c r="A414" s="1">
        <v>44529</v>
      </c>
      <c r="B414">
        <v>29</v>
      </c>
      <c r="C414" t="s">
        <v>98</v>
      </c>
      <c r="D414">
        <v>2021</v>
      </c>
      <c r="E414">
        <v>44</v>
      </c>
      <c r="F414" t="s">
        <v>14</v>
      </c>
      <c r="G414" t="s">
        <v>122</v>
      </c>
      <c r="H414" t="s">
        <v>23</v>
      </c>
      <c r="I414" t="s">
        <v>24</v>
      </c>
      <c r="J414" t="s">
        <v>17</v>
      </c>
      <c r="K414" t="s">
        <v>44</v>
      </c>
      <c r="L414">
        <v>1</v>
      </c>
      <c r="M414" s="6">
        <v>713</v>
      </c>
      <c r="N414" s="6">
        <v>1120</v>
      </c>
      <c r="O414" s="6">
        <f>Table1[[#This Row],[Unit_Price]]*Table1[[#This Row],[Order_Quantity]]</f>
        <v>1120</v>
      </c>
      <c r="P414" s="6">
        <f>Table1[[#This Row],[Unit_Cost]]*Table1[[#This Row],[Order_Quantity]]</f>
        <v>713</v>
      </c>
      <c r="Q414" s="4">
        <f>Table1[[#This Row],[total sales]]-Table1[[#This Row],[total cost]]</f>
        <v>407</v>
      </c>
      <c r="R414" s="6" t="s">
        <v>136</v>
      </c>
      <c r="S414" s="6" t="str">
        <f>_xlfn.CONCAT(Table1[[#This Row],[Sub_Category]],"-",Table1[[#This Row],[bike colour]])</f>
        <v>Road Bikes-yellow</v>
      </c>
    </row>
    <row r="415" spans="1:19" x14ac:dyDescent="0.3">
      <c r="A415" s="1">
        <v>44530</v>
      </c>
      <c r="B415">
        <v>30</v>
      </c>
      <c r="C415" t="s">
        <v>98</v>
      </c>
      <c r="D415">
        <v>2021</v>
      </c>
      <c r="E415">
        <v>29</v>
      </c>
      <c r="F415" t="s">
        <v>19</v>
      </c>
      <c r="G415" t="s">
        <v>120</v>
      </c>
      <c r="H415" t="s">
        <v>15</v>
      </c>
      <c r="I415" t="s">
        <v>16</v>
      </c>
      <c r="J415" t="s">
        <v>25</v>
      </c>
      <c r="K415" t="s">
        <v>56</v>
      </c>
      <c r="L415">
        <v>4</v>
      </c>
      <c r="M415" s="6">
        <v>713</v>
      </c>
      <c r="N415" s="6">
        <v>1120</v>
      </c>
      <c r="O415" s="6">
        <f>Table1[[#This Row],[Unit_Price]]*Table1[[#This Row],[Order_Quantity]]</f>
        <v>4480</v>
      </c>
      <c r="P415" s="6">
        <f>Table1[[#This Row],[Unit_Cost]]*Table1[[#This Row],[Order_Quantity]]</f>
        <v>2852</v>
      </c>
      <c r="Q415" s="4">
        <f>Table1[[#This Row],[total sales]]-Table1[[#This Row],[total cost]]</f>
        <v>1628</v>
      </c>
      <c r="R415" s="6" t="s">
        <v>139</v>
      </c>
      <c r="S415" s="6" t="str">
        <f>_xlfn.CONCAT(Table1[[#This Row],[Sub_Category]],"-",Table1[[#This Row],[bike colour]])</f>
        <v>Mountain Bikes-silver</v>
      </c>
    </row>
    <row r="416" spans="1:19" x14ac:dyDescent="0.3">
      <c r="A416" s="1">
        <v>44530</v>
      </c>
      <c r="B416">
        <v>30</v>
      </c>
      <c r="C416" t="s">
        <v>98</v>
      </c>
      <c r="D416">
        <v>2021</v>
      </c>
      <c r="E416">
        <v>60</v>
      </c>
      <c r="F416" t="s">
        <v>14</v>
      </c>
      <c r="G416" t="s">
        <v>120</v>
      </c>
      <c r="H416" t="s">
        <v>15</v>
      </c>
      <c r="I416" t="s">
        <v>16</v>
      </c>
      <c r="J416" t="s">
        <v>17</v>
      </c>
      <c r="K416" t="s">
        <v>91</v>
      </c>
      <c r="L416">
        <v>4</v>
      </c>
      <c r="M416" s="6">
        <v>713</v>
      </c>
      <c r="N416" s="6">
        <v>1120</v>
      </c>
      <c r="O416" s="6">
        <f>Table1[[#This Row],[Unit_Price]]*Table1[[#This Row],[Order_Quantity]]</f>
        <v>4480</v>
      </c>
      <c r="P416" s="6">
        <f>Table1[[#This Row],[Unit_Cost]]*Table1[[#This Row],[Order_Quantity]]</f>
        <v>2852</v>
      </c>
      <c r="Q416" s="4">
        <f>Table1[[#This Row],[total sales]]-Table1[[#This Row],[total cost]]</f>
        <v>1628</v>
      </c>
      <c r="R416" s="6" t="s">
        <v>136</v>
      </c>
      <c r="S416" s="6" t="str">
        <f>_xlfn.CONCAT(Table1[[#This Row],[Sub_Category]],"-",Table1[[#This Row],[bike colour]])</f>
        <v>Road Bikes-yellow</v>
      </c>
    </row>
    <row r="417" spans="1:19" x14ac:dyDescent="0.3">
      <c r="A417" s="1">
        <v>44530</v>
      </c>
      <c r="B417">
        <v>30</v>
      </c>
      <c r="C417" t="s">
        <v>98</v>
      </c>
      <c r="D417">
        <v>2021</v>
      </c>
      <c r="E417">
        <v>17</v>
      </c>
      <c r="F417" t="s">
        <v>49</v>
      </c>
      <c r="G417" t="s">
        <v>122</v>
      </c>
      <c r="H417" t="s">
        <v>27</v>
      </c>
      <c r="I417" t="s">
        <v>33</v>
      </c>
      <c r="J417" t="s">
        <v>17</v>
      </c>
      <c r="K417" t="s">
        <v>99</v>
      </c>
      <c r="L417">
        <v>3</v>
      </c>
      <c r="M417" s="6">
        <v>713</v>
      </c>
      <c r="N417" s="6">
        <v>1120</v>
      </c>
      <c r="O417" s="6">
        <f>Table1[[#This Row],[Unit_Price]]*Table1[[#This Row],[Order_Quantity]]</f>
        <v>3360</v>
      </c>
      <c r="P417" s="6">
        <f>Table1[[#This Row],[Unit_Cost]]*Table1[[#This Row],[Order_Quantity]]</f>
        <v>2139</v>
      </c>
      <c r="Q417" s="4">
        <f>Table1[[#This Row],[total sales]]-Table1[[#This Row],[total cost]]</f>
        <v>1221</v>
      </c>
      <c r="R417" s="6" t="s">
        <v>137</v>
      </c>
      <c r="S417" s="6" t="str">
        <f>_xlfn.CONCAT(Table1[[#This Row],[Sub_Category]],"-",Table1[[#This Row],[bike colour]])</f>
        <v>Road Bikes-red</v>
      </c>
    </row>
    <row r="418" spans="1:19" x14ac:dyDescent="0.3">
      <c r="A418" s="1">
        <v>44530</v>
      </c>
      <c r="B418">
        <v>30</v>
      </c>
      <c r="C418" t="s">
        <v>98</v>
      </c>
      <c r="D418">
        <v>2021</v>
      </c>
      <c r="E418">
        <v>18</v>
      </c>
      <c r="F418" t="s">
        <v>49</v>
      </c>
      <c r="G418" t="s">
        <v>122</v>
      </c>
      <c r="H418" t="s">
        <v>42</v>
      </c>
      <c r="I418" t="s">
        <v>74</v>
      </c>
      <c r="J418" t="s">
        <v>17</v>
      </c>
      <c r="K418" t="s">
        <v>46</v>
      </c>
      <c r="L418">
        <v>2</v>
      </c>
      <c r="M418" s="6">
        <v>713</v>
      </c>
      <c r="N418" s="6">
        <v>1120</v>
      </c>
      <c r="O418" s="6">
        <f>Table1[[#This Row],[Unit_Price]]*Table1[[#This Row],[Order_Quantity]]</f>
        <v>2240</v>
      </c>
      <c r="P418" s="6">
        <f>Table1[[#This Row],[Unit_Cost]]*Table1[[#This Row],[Order_Quantity]]</f>
        <v>1426</v>
      </c>
      <c r="Q418" s="4">
        <f>Table1[[#This Row],[total sales]]-Table1[[#This Row],[total cost]]</f>
        <v>814</v>
      </c>
      <c r="R418" s="6" t="s">
        <v>137</v>
      </c>
      <c r="S418" s="6" t="str">
        <f>_xlfn.CONCAT(Table1[[#This Row],[Sub_Category]],"-",Table1[[#This Row],[bike colour]])</f>
        <v>Road Bikes-red</v>
      </c>
    </row>
    <row r="419" spans="1:19" x14ac:dyDescent="0.3">
      <c r="A419" s="1">
        <v>44530</v>
      </c>
      <c r="B419">
        <v>30</v>
      </c>
      <c r="C419" t="s">
        <v>98</v>
      </c>
      <c r="D419">
        <v>2021</v>
      </c>
      <c r="E419">
        <v>30</v>
      </c>
      <c r="F419" t="s">
        <v>19</v>
      </c>
      <c r="G419" t="s">
        <v>122</v>
      </c>
      <c r="H419" t="s">
        <v>15</v>
      </c>
      <c r="I419" t="s">
        <v>47</v>
      </c>
      <c r="J419" t="s">
        <v>17</v>
      </c>
      <c r="K419" t="s">
        <v>102</v>
      </c>
      <c r="L419">
        <v>2</v>
      </c>
      <c r="M419" s="6">
        <v>713</v>
      </c>
      <c r="N419" s="6">
        <v>1120</v>
      </c>
      <c r="O419" s="6">
        <f>Table1[[#This Row],[Unit_Price]]*Table1[[#This Row],[Order_Quantity]]</f>
        <v>2240</v>
      </c>
      <c r="P419" s="6">
        <f>Table1[[#This Row],[Unit_Cost]]*Table1[[#This Row],[Order_Quantity]]</f>
        <v>1426</v>
      </c>
      <c r="Q419" s="4">
        <f>Table1[[#This Row],[total sales]]-Table1[[#This Row],[total cost]]</f>
        <v>814</v>
      </c>
      <c r="R419" s="6" t="s">
        <v>137</v>
      </c>
      <c r="S419" s="6" t="str">
        <f>_xlfn.CONCAT(Table1[[#This Row],[Sub_Category]],"-",Table1[[#This Row],[bike colour]])</f>
        <v>Road Bikes-red</v>
      </c>
    </row>
    <row r="420" spans="1:19" x14ac:dyDescent="0.3">
      <c r="A420" s="1">
        <v>44530</v>
      </c>
      <c r="B420">
        <v>30</v>
      </c>
      <c r="C420" t="s">
        <v>98</v>
      </c>
      <c r="D420">
        <v>2021</v>
      </c>
      <c r="E420">
        <v>36</v>
      </c>
      <c r="F420" t="s">
        <v>14</v>
      </c>
      <c r="G420" t="s">
        <v>120</v>
      </c>
      <c r="H420" t="s">
        <v>15</v>
      </c>
      <c r="I420" t="s">
        <v>16</v>
      </c>
      <c r="J420" t="s">
        <v>17</v>
      </c>
      <c r="K420" t="s">
        <v>32</v>
      </c>
      <c r="L420">
        <v>1</v>
      </c>
      <c r="M420" s="6">
        <v>713</v>
      </c>
      <c r="N420" s="6">
        <v>1120</v>
      </c>
      <c r="O420" s="6">
        <f>Table1[[#This Row],[Unit_Price]]*Table1[[#This Row],[Order_Quantity]]</f>
        <v>1120</v>
      </c>
      <c r="P420" s="6">
        <f>Table1[[#This Row],[Unit_Cost]]*Table1[[#This Row],[Order_Quantity]]</f>
        <v>713</v>
      </c>
      <c r="Q420" s="4">
        <f>Table1[[#This Row],[total sales]]-Table1[[#This Row],[total cost]]</f>
        <v>407</v>
      </c>
      <c r="R420" s="6" t="s">
        <v>137</v>
      </c>
      <c r="S420" s="6" t="str">
        <f>_xlfn.CONCAT(Table1[[#This Row],[Sub_Category]],"-",Table1[[#This Row],[bike colour]])</f>
        <v>Road Bikes-red</v>
      </c>
    </row>
    <row r="421" spans="1:19" x14ac:dyDescent="0.3">
      <c r="A421" s="1">
        <v>44530</v>
      </c>
      <c r="B421">
        <v>30</v>
      </c>
      <c r="C421" t="s">
        <v>98</v>
      </c>
      <c r="D421">
        <v>2021</v>
      </c>
      <c r="E421">
        <v>41</v>
      </c>
      <c r="F421" t="s">
        <v>14</v>
      </c>
      <c r="G421" t="s">
        <v>122</v>
      </c>
      <c r="H421" t="s">
        <v>15</v>
      </c>
      <c r="I421" t="s">
        <v>47</v>
      </c>
      <c r="J421" t="s">
        <v>17</v>
      </c>
      <c r="K421" t="s">
        <v>54</v>
      </c>
      <c r="L421">
        <v>1</v>
      </c>
      <c r="M421" s="6">
        <v>713</v>
      </c>
      <c r="N421" s="6">
        <v>1120</v>
      </c>
      <c r="O421" s="6">
        <f>Table1[[#This Row],[Unit_Price]]*Table1[[#This Row],[Order_Quantity]]</f>
        <v>1120</v>
      </c>
      <c r="P421" s="6">
        <f>Table1[[#This Row],[Unit_Cost]]*Table1[[#This Row],[Order_Quantity]]</f>
        <v>713</v>
      </c>
      <c r="Q421" s="4">
        <f>Table1[[#This Row],[total sales]]-Table1[[#This Row],[total cost]]</f>
        <v>407</v>
      </c>
      <c r="R421" s="6" t="s">
        <v>137</v>
      </c>
      <c r="S421" s="6" t="str">
        <f>_xlfn.CONCAT(Table1[[#This Row],[Sub_Category]],"-",Table1[[#This Row],[bike colour]])</f>
        <v>Road Bikes-red</v>
      </c>
    </row>
    <row r="422" spans="1:19" x14ac:dyDescent="0.3">
      <c r="A422" s="1">
        <v>44530</v>
      </c>
      <c r="B422">
        <v>30</v>
      </c>
      <c r="C422" t="s">
        <v>98</v>
      </c>
      <c r="D422">
        <v>2021</v>
      </c>
      <c r="E422">
        <v>46</v>
      </c>
      <c r="F422" t="s">
        <v>14</v>
      </c>
      <c r="G422" t="s">
        <v>122</v>
      </c>
      <c r="H422" t="s">
        <v>23</v>
      </c>
      <c r="I422" t="s">
        <v>24</v>
      </c>
      <c r="J422" t="s">
        <v>25</v>
      </c>
      <c r="K422" t="s">
        <v>62</v>
      </c>
      <c r="L422">
        <v>1</v>
      </c>
      <c r="M422" s="6">
        <v>713</v>
      </c>
      <c r="N422" s="6">
        <v>1120</v>
      </c>
      <c r="O422" s="6">
        <f>Table1[[#This Row],[Unit_Price]]*Table1[[#This Row],[Order_Quantity]]</f>
        <v>1120</v>
      </c>
      <c r="P422" s="6">
        <f>Table1[[#This Row],[Unit_Cost]]*Table1[[#This Row],[Order_Quantity]]</f>
        <v>713</v>
      </c>
      <c r="Q422" s="4">
        <f>Table1[[#This Row],[total sales]]-Table1[[#This Row],[total cost]]</f>
        <v>407</v>
      </c>
      <c r="R422" s="6" t="s">
        <v>139</v>
      </c>
      <c r="S422" s="6" t="str">
        <f>_xlfn.CONCAT(Table1[[#This Row],[Sub_Category]],"-",Table1[[#This Row],[bike colour]])</f>
        <v>Mountain Bikes-silver</v>
      </c>
    </row>
    <row r="423" spans="1:19" x14ac:dyDescent="0.3">
      <c r="A423" s="1">
        <v>44530</v>
      </c>
      <c r="B423">
        <v>30</v>
      </c>
      <c r="C423" t="s">
        <v>98</v>
      </c>
      <c r="D423">
        <v>2021</v>
      </c>
      <c r="E423">
        <v>57</v>
      </c>
      <c r="F423" t="s">
        <v>14</v>
      </c>
      <c r="G423" t="s">
        <v>122</v>
      </c>
      <c r="H423" t="s">
        <v>15</v>
      </c>
      <c r="I423" t="s">
        <v>16</v>
      </c>
      <c r="J423" t="s">
        <v>17</v>
      </c>
      <c r="K423" t="s">
        <v>46</v>
      </c>
      <c r="L423">
        <v>1</v>
      </c>
      <c r="M423" s="6">
        <v>713</v>
      </c>
      <c r="N423" s="6">
        <v>1120</v>
      </c>
      <c r="O423" s="6">
        <f>Table1[[#This Row],[Unit_Price]]*Table1[[#This Row],[Order_Quantity]]</f>
        <v>1120</v>
      </c>
      <c r="P423" s="6">
        <f>Table1[[#This Row],[Unit_Cost]]*Table1[[#This Row],[Order_Quantity]]</f>
        <v>713</v>
      </c>
      <c r="Q423" s="4">
        <f>Table1[[#This Row],[total sales]]-Table1[[#This Row],[total cost]]</f>
        <v>407</v>
      </c>
      <c r="R423" s="6" t="s">
        <v>137</v>
      </c>
      <c r="S423" s="6" t="str">
        <f>_xlfn.CONCAT(Table1[[#This Row],[Sub_Category]],"-",Table1[[#This Row],[bike colour]])</f>
        <v>Road Bikes-red</v>
      </c>
    </row>
    <row r="424" spans="1:19" x14ac:dyDescent="0.3">
      <c r="A424" s="1">
        <v>44531</v>
      </c>
      <c r="B424">
        <v>1</v>
      </c>
      <c r="C424" t="s">
        <v>106</v>
      </c>
      <c r="D424">
        <v>2021</v>
      </c>
      <c r="E424">
        <v>39</v>
      </c>
      <c r="F424" t="s">
        <v>14</v>
      </c>
      <c r="G424" t="s">
        <v>120</v>
      </c>
      <c r="H424" t="s">
        <v>15</v>
      </c>
      <c r="I424" t="s">
        <v>16</v>
      </c>
      <c r="J424" t="s">
        <v>25</v>
      </c>
      <c r="K424" t="s">
        <v>61</v>
      </c>
      <c r="L424">
        <v>4</v>
      </c>
      <c r="M424" s="6">
        <v>713</v>
      </c>
      <c r="N424" s="6">
        <v>1120</v>
      </c>
      <c r="O424" s="6">
        <f>Table1[[#This Row],[Unit_Price]]*Table1[[#This Row],[Order_Quantity]]</f>
        <v>4480</v>
      </c>
      <c r="P424" s="6">
        <f>Table1[[#This Row],[Unit_Cost]]*Table1[[#This Row],[Order_Quantity]]</f>
        <v>2852</v>
      </c>
      <c r="Q424" s="4">
        <f>Table1[[#This Row],[total sales]]-Table1[[#This Row],[total cost]]</f>
        <v>1628</v>
      </c>
      <c r="R424" s="6" t="s">
        <v>138</v>
      </c>
      <c r="S424" s="6" t="str">
        <f>_xlfn.CONCAT(Table1[[#This Row],[Sub_Category]],"-",Table1[[#This Row],[bike colour]])</f>
        <v>Mountain Bikes-black</v>
      </c>
    </row>
    <row r="425" spans="1:19" x14ac:dyDescent="0.3">
      <c r="A425" s="1">
        <v>44531</v>
      </c>
      <c r="B425">
        <v>1</v>
      </c>
      <c r="C425" t="s">
        <v>106</v>
      </c>
      <c r="D425">
        <v>2021</v>
      </c>
      <c r="E425">
        <v>42</v>
      </c>
      <c r="F425" t="s">
        <v>14</v>
      </c>
      <c r="G425" t="s">
        <v>122</v>
      </c>
      <c r="H425" t="s">
        <v>15</v>
      </c>
      <c r="I425" t="s">
        <v>47</v>
      </c>
      <c r="J425" t="s">
        <v>17</v>
      </c>
      <c r="K425" t="s">
        <v>80</v>
      </c>
      <c r="L425">
        <v>3</v>
      </c>
      <c r="M425" s="6">
        <v>713</v>
      </c>
      <c r="N425" s="6">
        <v>1120</v>
      </c>
      <c r="O425" s="6">
        <f>Table1[[#This Row],[Unit_Price]]*Table1[[#This Row],[Order_Quantity]]</f>
        <v>3360</v>
      </c>
      <c r="P425" s="6">
        <f>Table1[[#This Row],[Unit_Cost]]*Table1[[#This Row],[Order_Quantity]]</f>
        <v>2139</v>
      </c>
      <c r="Q425" s="4">
        <f>Table1[[#This Row],[total sales]]-Table1[[#This Row],[total cost]]</f>
        <v>1221</v>
      </c>
      <c r="R425" s="6" t="s">
        <v>138</v>
      </c>
      <c r="S425" s="6" t="str">
        <f>_xlfn.CONCAT(Table1[[#This Row],[Sub_Category]],"-",Table1[[#This Row],[bike colour]])</f>
        <v>Road Bikes-black</v>
      </c>
    </row>
    <row r="426" spans="1:19" x14ac:dyDescent="0.3">
      <c r="A426" s="1">
        <v>44531</v>
      </c>
      <c r="B426">
        <v>1</v>
      </c>
      <c r="C426" t="s">
        <v>106</v>
      </c>
      <c r="D426">
        <v>2021</v>
      </c>
      <c r="E426">
        <v>36</v>
      </c>
      <c r="F426" t="s">
        <v>14</v>
      </c>
      <c r="G426" t="s">
        <v>120</v>
      </c>
      <c r="H426" t="s">
        <v>42</v>
      </c>
      <c r="I426" t="s">
        <v>107</v>
      </c>
      <c r="J426" t="s">
        <v>17</v>
      </c>
      <c r="K426" t="s">
        <v>81</v>
      </c>
      <c r="L426">
        <v>2</v>
      </c>
      <c r="M426" s="6">
        <v>713</v>
      </c>
      <c r="N426" s="6">
        <v>1120</v>
      </c>
      <c r="O426" s="6">
        <f>Table1[[#This Row],[Unit_Price]]*Table1[[#This Row],[Order_Quantity]]</f>
        <v>2240</v>
      </c>
      <c r="P426" s="6">
        <f>Table1[[#This Row],[Unit_Cost]]*Table1[[#This Row],[Order_Quantity]]</f>
        <v>1426</v>
      </c>
      <c r="Q426" s="4">
        <f>Table1[[#This Row],[total sales]]-Table1[[#This Row],[total cost]]</f>
        <v>814</v>
      </c>
      <c r="R426" s="6" t="s">
        <v>136</v>
      </c>
      <c r="S426" s="6" t="str">
        <f>_xlfn.CONCAT(Table1[[#This Row],[Sub_Category]],"-",Table1[[#This Row],[bike colour]])</f>
        <v>Road Bikes-yellow</v>
      </c>
    </row>
    <row r="427" spans="1:19" x14ac:dyDescent="0.3">
      <c r="A427" s="1">
        <v>44531</v>
      </c>
      <c r="B427">
        <v>1</v>
      </c>
      <c r="C427" t="s">
        <v>106</v>
      </c>
      <c r="D427">
        <v>2021</v>
      </c>
      <c r="E427">
        <v>20</v>
      </c>
      <c r="F427" t="s">
        <v>49</v>
      </c>
      <c r="G427" t="s">
        <v>122</v>
      </c>
      <c r="H427" t="s">
        <v>42</v>
      </c>
      <c r="I427" t="s">
        <v>43</v>
      </c>
      <c r="J427" t="s">
        <v>17</v>
      </c>
      <c r="K427" t="s">
        <v>46</v>
      </c>
      <c r="L427">
        <v>1</v>
      </c>
      <c r="M427" s="6">
        <v>713</v>
      </c>
      <c r="N427" s="6">
        <v>1120</v>
      </c>
      <c r="O427" s="6">
        <f>Table1[[#This Row],[Unit_Price]]*Table1[[#This Row],[Order_Quantity]]</f>
        <v>1120</v>
      </c>
      <c r="P427" s="6">
        <f>Table1[[#This Row],[Unit_Cost]]*Table1[[#This Row],[Order_Quantity]]</f>
        <v>713</v>
      </c>
      <c r="Q427" s="4">
        <f>Table1[[#This Row],[total sales]]-Table1[[#This Row],[total cost]]</f>
        <v>407</v>
      </c>
      <c r="R427" s="6" t="s">
        <v>137</v>
      </c>
      <c r="S427" s="6" t="str">
        <f>_xlfn.CONCAT(Table1[[#This Row],[Sub_Category]],"-",Table1[[#This Row],[bike colour]])</f>
        <v>Road Bikes-red</v>
      </c>
    </row>
    <row r="428" spans="1:19" x14ac:dyDescent="0.3">
      <c r="A428" s="1">
        <v>44531</v>
      </c>
      <c r="B428">
        <v>1</v>
      </c>
      <c r="C428" t="s">
        <v>106</v>
      </c>
      <c r="D428">
        <v>2021</v>
      </c>
      <c r="E428">
        <v>23</v>
      </c>
      <c r="F428" t="s">
        <v>49</v>
      </c>
      <c r="G428" t="s">
        <v>122</v>
      </c>
      <c r="H428" t="s">
        <v>23</v>
      </c>
      <c r="I428" t="s">
        <v>24</v>
      </c>
      <c r="J428" t="s">
        <v>17</v>
      </c>
      <c r="K428" t="s">
        <v>38</v>
      </c>
      <c r="L428">
        <v>1</v>
      </c>
      <c r="M428" s="6">
        <v>713</v>
      </c>
      <c r="N428" s="6">
        <v>1120</v>
      </c>
      <c r="O428" s="6">
        <f>Table1[[#This Row],[Unit_Price]]*Table1[[#This Row],[Order_Quantity]]</f>
        <v>1120</v>
      </c>
      <c r="P428" s="6">
        <f>Table1[[#This Row],[Unit_Cost]]*Table1[[#This Row],[Order_Quantity]]</f>
        <v>713</v>
      </c>
      <c r="Q428" s="4">
        <f>Table1[[#This Row],[total sales]]-Table1[[#This Row],[total cost]]</f>
        <v>407</v>
      </c>
      <c r="R428" s="6" t="s">
        <v>137</v>
      </c>
      <c r="S428" s="6" t="str">
        <f>_xlfn.CONCAT(Table1[[#This Row],[Sub_Category]],"-",Table1[[#This Row],[bike colour]])</f>
        <v>Road Bikes-red</v>
      </c>
    </row>
    <row r="429" spans="1:19" x14ac:dyDescent="0.3">
      <c r="A429" s="1">
        <v>44531</v>
      </c>
      <c r="B429">
        <v>1</v>
      </c>
      <c r="C429" t="s">
        <v>106</v>
      </c>
      <c r="D429">
        <v>2021</v>
      </c>
      <c r="E429">
        <v>23</v>
      </c>
      <c r="F429" t="s">
        <v>49</v>
      </c>
      <c r="G429" t="s">
        <v>120</v>
      </c>
      <c r="H429" t="s">
        <v>15</v>
      </c>
      <c r="I429" t="s">
        <v>16</v>
      </c>
      <c r="J429" t="s">
        <v>17</v>
      </c>
      <c r="K429" t="s">
        <v>81</v>
      </c>
      <c r="L429">
        <v>1</v>
      </c>
      <c r="M429" s="6">
        <v>713</v>
      </c>
      <c r="N429" s="6">
        <v>1120</v>
      </c>
      <c r="O429" s="6">
        <f>Table1[[#This Row],[Unit_Price]]*Table1[[#This Row],[Order_Quantity]]</f>
        <v>1120</v>
      </c>
      <c r="P429" s="6">
        <f>Table1[[#This Row],[Unit_Cost]]*Table1[[#This Row],[Order_Quantity]]</f>
        <v>713</v>
      </c>
      <c r="Q429" s="4">
        <f>Table1[[#This Row],[total sales]]-Table1[[#This Row],[total cost]]</f>
        <v>407</v>
      </c>
      <c r="R429" s="6" t="s">
        <v>136</v>
      </c>
      <c r="S429" s="6" t="str">
        <f>_xlfn.CONCAT(Table1[[#This Row],[Sub_Category]],"-",Table1[[#This Row],[bike colour]])</f>
        <v>Road Bikes-yellow</v>
      </c>
    </row>
    <row r="430" spans="1:19" x14ac:dyDescent="0.3">
      <c r="A430" s="1">
        <v>44531</v>
      </c>
      <c r="B430">
        <v>1</v>
      </c>
      <c r="C430" t="s">
        <v>106</v>
      </c>
      <c r="D430">
        <v>2021</v>
      </c>
      <c r="E430">
        <v>28</v>
      </c>
      <c r="F430" t="s">
        <v>19</v>
      </c>
      <c r="G430" t="s">
        <v>120</v>
      </c>
      <c r="H430" t="s">
        <v>27</v>
      </c>
      <c r="I430" t="s">
        <v>33</v>
      </c>
      <c r="J430" t="s">
        <v>17</v>
      </c>
      <c r="K430" t="s">
        <v>57</v>
      </c>
      <c r="L430">
        <v>1</v>
      </c>
      <c r="M430" s="6">
        <v>713</v>
      </c>
      <c r="N430" s="6">
        <v>1120</v>
      </c>
      <c r="O430" s="6">
        <f>Table1[[#This Row],[Unit_Price]]*Table1[[#This Row],[Order_Quantity]]</f>
        <v>1120</v>
      </c>
      <c r="P430" s="6">
        <f>Table1[[#This Row],[Unit_Cost]]*Table1[[#This Row],[Order_Quantity]]</f>
        <v>713</v>
      </c>
      <c r="Q430" s="4">
        <f>Table1[[#This Row],[total sales]]-Table1[[#This Row],[total cost]]</f>
        <v>407</v>
      </c>
      <c r="R430" s="6" t="s">
        <v>138</v>
      </c>
      <c r="S430" s="6" t="str">
        <f>_xlfn.CONCAT(Table1[[#This Row],[Sub_Category]],"-",Table1[[#This Row],[bike colour]])</f>
        <v>Road Bikes-black</v>
      </c>
    </row>
    <row r="431" spans="1:19" x14ac:dyDescent="0.3">
      <c r="A431" s="1">
        <v>44531</v>
      </c>
      <c r="B431">
        <v>1</v>
      </c>
      <c r="C431" t="s">
        <v>106</v>
      </c>
      <c r="D431">
        <v>2021</v>
      </c>
      <c r="E431">
        <v>28</v>
      </c>
      <c r="F431" t="s">
        <v>19</v>
      </c>
      <c r="G431" t="s">
        <v>120</v>
      </c>
      <c r="H431" t="s">
        <v>15</v>
      </c>
      <c r="I431" t="s">
        <v>16</v>
      </c>
      <c r="J431" t="s">
        <v>17</v>
      </c>
      <c r="K431" t="s">
        <v>80</v>
      </c>
      <c r="L431">
        <v>1</v>
      </c>
      <c r="M431" s="6">
        <v>713</v>
      </c>
      <c r="N431" s="6">
        <v>1120</v>
      </c>
      <c r="O431" s="6">
        <f>Table1[[#This Row],[Unit_Price]]*Table1[[#This Row],[Order_Quantity]]</f>
        <v>1120</v>
      </c>
      <c r="P431" s="6">
        <f>Table1[[#This Row],[Unit_Cost]]*Table1[[#This Row],[Order_Quantity]]</f>
        <v>713</v>
      </c>
      <c r="Q431" s="4">
        <f>Table1[[#This Row],[total sales]]-Table1[[#This Row],[total cost]]</f>
        <v>407</v>
      </c>
      <c r="R431" s="6" t="s">
        <v>138</v>
      </c>
      <c r="S431" s="6" t="str">
        <f>_xlfn.CONCAT(Table1[[#This Row],[Sub_Category]],"-",Table1[[#This Row],[bike colour]])</f>
        <v>Road Bikes-black</v>
      </c>
    </row>
    <row r="432" spans="1:19" x14ac:dyDescent="0.3">
      <c r="A432" s="1">
        <v>44531</v>
      </c>
      <c r="B432">
        <v>1</v>
      </c>
      <c r="C432" t="s">
        <v>106</v>
      </c>
      <c r="D432">
        <v>2021</v>
      </c>
      <c r="E432">
        <v>31</v>
      </c>
      <c r="F432" t="s">
        <v>19</v>
      </c>
      <c r="G432" t="s">
        <v>120</v>
      </c>
      <c r="H432" t="s">
        <v>27</v>
      </c>
      <c r="I432" t="s">
        <v>30</v>
      </c>
      <c r="J432" t="s">
        <v>17</v>
      </c>
      <c r="K432" t="s">
        <v>66</v>
      </c>
      <c r="L432">
        <v>1</v>
      </c>
      <c r="M432" s="6">
        <v>713</v>
      </c>
      <c r="N432" s="6">
        <v>1120</v>
      </c>
      <c r="O432" s="6">
        <f>Table1[[#This Row],[Unit_Price]]*Table1[[#This Row],[Order_Quantity]]</f>
        <v>1120</v>
      </c>
      <c r="P432" s="6">
        <f>Table1[[#This Row],[Unit_Cost]]*Table1[[#This Row],[Order_Quantity]]</f>
        <v>713</v>
      </c>
      <c r="Q432" s="4">
        <f>Table1[[#This Row],[total sales]]-Table1[[#This Row],[total cost]]</f>
        <v>407</v>
      </c>
      <c r="R432" s="6" t="s">
        <v>138</v>
      </c>
      <c r="S432" s="6" t="str">
        <f>_xlfn.CONCAT(Table1[[#This Row],[Sub_Category]],"-",Table1[[#This Row],[bike colour]])</f>
        <v>Road Bikes-black</v>
      </c>
    </row>
    <row r="433" spans="1:19" x14ac:dyDescent="0.3">
      <c r="A433" s="1">
        <v>44531</v>
      </c>
      <c r="B433">
        <v>1</v>
      </c>
      <c r="C433" t="s">
        <v>106</v>
      </c>
      <c r="D433">
        <v>2021</v>
      </c>
      <c r="E433">
        <v>34</v>
      </c>
      <c r="F433" t="s">
        <v>19</v>
      </c>
      <c r="G433" t="s">
        <v>122</v>
      </c>
      <c r="H433" t="s">
        <v>27</v>
      </c>
      <c r="I433" t="s">
        <v>33</v>
      </c>
      <c r="J433" t="s">
        <v>17</v>
      </c>
      <c r="K433" t="s">
        <v>64</v>
      </c>
      <c r="L433">
        <v>1</v>
      </c>
      <c r="M433" s="6">
        <v>713</v>
      </c>
      <c r="N433" s="6">
        <v>1120</v>
      </c>
      <c r="O433" s="6">
        <f>Table1[[#This Row],[Unit_Price]]*Table1[[#This Row],[Order_Quantity]]</f>
        <v>1120</v>
      </c>
      <c r="P433" s="6">
        <f>Table1[[#This Row],[Unit_Cost]]*Table1[[#This Row],[Order_Quantity]]</f>
        <v>713</v>
      </c>
      <c r="Q433" s="4">
        <f>Table1[[#This Row],[total sales]]-Table1[[#This Row],[total cost]]</f>
        <v>407</v>
      </c>
      <c r="R433" s="6" t="s">
        <v>136</v>
      </c>
      <c r="S433" s="6" t="str">
        <f>_xlfn.CONCAT(Table1[[#This Row],[Sub_Category]],"-",Table1[[#This Row],[bike colour]])</f>
        <v>Road Bikes-yellow</v>
      </c>
    </row>
    <row r="434" spans="1:19" x14ac:dyDescent="0.3">
      <c r="A434" s="1">
        <v>44531</v>
      </c>
      <c r="B434">
        <v>1</v>
      </c>
      <c r="C434" t="s">
        <v>106</v>
      </c>
      <c r="D434">
        <v>2021</v>
      </c>
      <c r="E434">
        <v>44</v>
      </c>
      <c r="F434" t="s">
        <v>14</v>
      </c>
      <c r="G434" t="s">
        <v>122</v>
      </c>
      <c r="H434" t="s">
        <v>23</v>
      </c>
      <c r="I434" t="s">
        <v>24</v>
      </c>
      <c r="J434" t="s">
        <v>25</v>
      </c>
      <c r="K434" t="s">
        <v>56</v>
      </c>
      <c r="L434">
        <v>1</v>
      </c>
      <c r="M434" s="6">
        <v>713</v>
      </c>
      <c r="N434" s="6">
        <v>1120</v>
      </c>
      <c r="O434" s="6">
        <f>Table1[[#This Row],[Unit_Price]]*Table1[[#This Row],[Order_Quantity]]</f>
        <v>1120</v>
      </c>
      <c r="P434" s="6">
        <f>Table1[[#This Row],[Unit_Cost]]*Table1[[#This Row],[Order_Quantity]]</f>
        <v>713</v>
      </c>
      <c r="Q434" s="4">
        <f>Table1[[#This Row],[total sales]]-Table1[[#This Row],[total cost]]</f>
        <v>407</v>
      </c>
      <c r="R434" s="6" t="s">
        <v>139</v>
      </c>
      <c r="S434" s="6" t="str">
        <f>_xlfn.CONCAT(Table1[[#This Row],[Sub_Category]],"-",Table1[[#This Row],[bike colour]])</f>
        <v>Mountain Bikes-silver</v>
      </c>
    </row>
    <row r="435" spans="1:19" x14ac:dyDescent="0.3">
      <c r="A435" s="1">
        <v>44532</v>
      </c>
      <c r="B435">
        <v>2</v>
      </c>
      <c r="C435" t="s">
        <v>106</v>
      </c>
      <c r="D435">
        <v>2021</v>
      </c>
      <c r="E435">
        <v>39</v>
      </c>
      <c r="F435" t="s">
        <v>14</v>
      </c>
      <c r="G435" t="s">
        <v>120</v>
      </c>
      <c r="H435" t="s">
        <v>23</v>
      </c>
      <c r="I435" t="s">
        <v>24</v>
      </c>
      <c r="J435" t="s">
        <v>17</v>
      </c>
      <c r="K435" t="s">
        <v>41</v>
      </c>
      <c r="L435">
        <v>4</v>
      </c>
      <c r="M435" s="6">
        <v>713</v>
      </c>
      <c r="N435" s="6">
        <v>1120</v>
      </c>
      <c r="O435" s="6">
        <f>Table1[[#This Row],[Unit_Price]]*Table1[[#This Row],[Order_Quantity]]</f>
        <v>4480</v>
      </c>
      <c r="P435" s="6">
        <f>Table1[[#This Row],[Unit_Cost]]*Table1[[#This Row],[Order_Quantity]]</f>
        <v>2852</v>
      </c>
      <c r="Q435" s="4">
        <f>Table1[[#This Row],[total sales]]-Table1[[#This Row],[total cost]]</f>
        <v>1628</v>
      </c>
      <c r="R435" s="6" t="s">
        <v>138</v>
      </c>
      <c r="S435" s="6" t="str">
        <f>_xlfn.CONCAT(Table1[[#This Row],[Sub_Category]],"-",Table1[[#This Row],[bike colour]])</f>
        <v>Road Bikes-black</v>
      </c>
    </row>
    <row r="436" spans="1:19" x14ac:dyDescent="0.3">
      <c r="A436" s="1">
        <v>44532</v>
      </c>
      <c r="B436">
        <v>2</v>
      </c>
      <c r="C436" t="s">
        <v>106</v>
      </c>
      <c r="D436">
        <v>2021</v>
      </c>
      <c r="E436">
        <v>44</v>
      </c>
      <c r="F436" t="s">
        <v>14</v>
      </c>
      <c r="G436" t="s">
        <v>122</v>
      </c>
      <c r="H436" t="s">
        <v>15</v>
      </c>
      <c r="I436" t="s">
        <v>47</v>
      </c>
      <c r="J436" t="s">
        <v>17</v>
      </c>
      <c r="K436" t="s">
        <v>85</v>
      </c>
      <c r="L436">
        <v>4</v>
      </c>
      <c r="M436" s="6">
        <v>713</v>
      </c>
      <c r="N436" s="6">
        <v>1120</v>
      </c>
      <c r="O436" s="6">
        <f>Table1[[#This Row],[Unit_Price]]*Table1[[#This Row],[Order_Quantity]]</f>
        <v>4480</v>
      </c>
      <c r="P436" s="6">
        <f>Table1[[#This Row],[Unit_Cost]]*Table1[[#This Row],[Order_Quantity]]</f>
        <v>2852</v>
      </c>
      <c r="Q436" s="4">
        <f>Table1[[#This Row],[total sales]]-Table1[[#This Row],[total cost]]</f>
        <v>1628</v>
      </c>
      <c r="R436" s="6" t="s">
        <v>137</v>
      </c>
      <c r="S436" s="6" t="str">
        <f>_xlfn.CONCAT(Table1[[#This Row],[Sub_Category]],"-",Table1[[#This Row],[bike colour]])</f>
        <v>Road Bikes-red</v>
      </c>
    </row>
    <row r="437" spans="1:19" x14ac:dyDescent="0.3">
      <c r="A437" s="1">
        <v>44532</v>
      </c>
      <c r="B437">
        <v>2</v>
      </c>
      <c r="C437" t="s">
        <v>106</v>
      </c>
      <c r="D437">
        <v>2021</v>
      </c>
      <c r="E437">
        <v>41</v>
      </c>
      <c r="F437" t="s">
        <v>14</v>
      </c>
      <c r="G437" t="s">
        <v>122</v>
      </c>
      <c r="H437" t="s">
        <v>27</v>
      </c>
      <c r="I437" t="s">
        <v>33</v>
      </c>
      <c r="J437" t="s">
        <v>17</v>
      </c>
      <c r="K437" t="s">
        <v>41</v>
      </c>
      <c r="L437">
        <v>3</v>
      </c>
      <c r="M437" s="6">
        <v>713</v>
      </c>
      <c r="N437" s="6">
        <v>1120</v>
      </c>
      <c r="O437" s="6">
        <f>Table1[[#This Row],[Unit_Price]]*Table1[[#This Row],[Order_Quantity]]</f>
        <v>3360</v>
      </c>
      <c r="P437" s="6">
        <f>Table1[[#This Row],[Unit_Cost]]*Table1[[#This Row],[Order_Quantity]]</f>
        <v>2139</v>
      </c>
      <c r="Q437" s="4">
        <f>Table1[[#This Row],[total sales]]-Table1[[#This Row],[total cost]]</f>
        <v>1221</v>
      </c>
      <c r="R437" s="6" t="s">
        <v>138</v>
      </c>
      <c r="S437" s="6" t="str">
        <f>_xlfn.CONCAT(Table1[[#This Row],[Sub_Category]],"-",Table1[[#This Row],[bike colour]])</f>
        <v>Road Bikes-black</v>
      </c>
    </row>
    <row r="438" spans="1:19" x14ac:dyDescent="0.3">
      <c r="A438" s="1">
        <v>44532</v>
      </c>
      <c r="B438">
        <v>2</v>
      </c>
      <c r="C438" t="s">
        <v>106</v>
      </c>
      <c r="D438">
        <v>2021</v>
      </c>
      <c r="E438">
        <v>29</v>
      </c>
      <c r="F438" t="s">
        <v>19</v>
      </c>
      <c r="G438" t="s">
        <v>120</v>
      </c>
      <c r="H438" t="s">
        <v>50</v>
      </c>
      <c r="I438" t="s">
        <v>94</v>
      </c>
      <c r="J438" t="s">
        <v>17</v>
      </c>
      <c r="K438" t="s">
        <v>81</v>
      </c>
      <c r="L438">
        <v>2</v>
      </c>
      <c r="M438" s="6">
        <v>713</v>
      </c>
      <c r="N438" s="6">
        <v>1120</v>
      </c>
      <c r="O438" s="6">
        <f>Table1[[#This Row],[Unit_Price]]*Table1[[#This Row],[Order_Quantity]]</f>
        <v>2240</v>
      </c>
      <c r="P438" s="6">
        <f>Table1[[#This Row],[Unit_Cost]]*Table1[[#This Row],[Order_Quantity]]</f>
        <v>1426</v>
      </c>
      <c r="Q438" s="4">
        <f>Table1[[#This Row],[total sales]]-Table1[[#This Row],[total cost]]</f>
        <v>814</v>
      </c>
      <c r="R438" s="6" t="s">
        <v>136</v>
      </c>
      <c r="S438" s="6" t="str">
        <f>_xlfn.CONCAT(Table1[[#This Row],[Sub_Category]],"-",Table1[[#This Row],[bike colour]])</f>
        <v>Road Bikes-yellow</v>
      </c>
    </row>
    <row r="439" spans="1:19" x14ac:dyDescent="0.3">
      <c r="A439" s="1">
        <v>44532</v>
      </c>
      <c r="B439">
        <v>2</v>
      </c>
      <c r="C439" t="s">
        <v>106</v>
      </c>
      <c r="D439">
        <v>2021</v>
      </c>
      <c r="E439">
        <v>35</v>
      </c>
      <c r="F439" t="s">
        <v>14</v>
      </c>
      <c r="G439" t="s">
        <v>122</v>
      </c>
      <c r="H439" t="s">
        <v>27</v>
      </c>
      <c r="I439" t="s">
        <v>33</v>
      </c>
      <c r="J439" t="s">
        <v>17</v>
      </c>
      <c r="K439" t="s">
        <v>36</v>
      </c>
      <c r="L439">
        <v>2</v>
      </c>
      <c r="M439" s="6">
        <v>713</v>
      </c>
      <c r="N439" s="6">
        <v>1120</v>
      </c>
      <c r="O439" s="6">
        <f>Table1[[#This Row],[Unit_Price]]*Table1[[#This Row],[Order_Quantity]]</f>
        <v>2240</v>
      </c>
      <c r="P439" s="6">
        <f>Table1[[#This Row],[Unit_Cost]]*Table1[[#This Row],[Order_Quantity]]</f>
        <v>1426</v>
      </c>
      <c r="Q439" s="4">
        <f>Table1[[#This Row],[total sales]]-Table1[[#This Row],[total cost]]</f>
        <v>814</v>
      </c>
      <c r="R439" s="6" t="s">
        <v>136</v>
      </c>
      <c r="S439" s="6" t="str">
        <f>_xlfn.CONCAT(Table1[[#This Row],[Sub_Category]],"-",Table1[[#This Row],[bike colour]])</f>
        <v>Road Bikes-yellow</v>
      </c>
    </row>
    <row r="440" spans="1:19" x14ac:dyDescent="0.3">
      <c r="A440" s="1">
        <v>44532</v>
      </c>
      <c r="B440">
        <v>2</v>
      </c>
      <c r="C440" t="s">
        <v>106</v>
      </c>
      <c r="D440">
        <v>2021</v>
      </c>
      <c r="E440">
        <v>37</v>
      </c>
      <c r="F440" t="s">
        <v>14</v>
      </c>
      <c r="G440" t="s">
        <v>122</v>
      </c>
      <c r="H440" t="s">
        <v>15</v>
      </c>
      <c r="I440" t="s">
        <v>16</v>
      </c>
      <c r="J440" t="s">
        <v>25</v>
      </c>
      <c r="K440" t="s">
        <v>92</v>
      </c>
      <c r="L440">
        <v>2</v>
      </c>
      <c r="M440" s="6">
        <v>713</v>
      </c>
      <c r="N440" s="6">
        <v>1120</v>
      </c>
      <c r="O440" s="6">
        <f>Table1[[#This Row],[Unit_Price]]*Table1[[#This Row],[Order_Quantity]]</f>
        <v>2240</v>
      </c>
      <c r="P440" s="6">
        <f>Table1[[#This Row],[Unit_Cost]]*Table1[[#This Row],[Order_Quantity]]</f>
        <v>1426</v>
      </c>
      <c r="Q440" s="4">
        <f>Table1[[#This Row],[total sales]]-Table1[[#This Row],[total cost]]</f>
        <v>814</v>
      </c>
      <c r="R440" s="6" t="s">
        <v>139</v>
      </c>
      <c r="S440" s="6" t="str">
        <f>_xlfn.CONCAT(Table1[[#This Row],[Sub_Category]],"-",Table1[[#This Row],[bike colour]])</f>
        <v>Mountain Bikes-silver</v>
      </c>
    </row>
    <row r="441" spans="1:19" x14ac:dyDescent="0.3">
      <c r="A441" s="1">
        <v>44532</v>
      </c>
      <c r="B441">
        <v>2</v>
      </c>
      <c r="C441" t="s">
        <v>106</v>
      </c>
      <c r="D441">
        <v>2021</v>
      </c>
      <c r="E441">
        <v>28</v>
      </c>
      <c r="F441" t="s">
        <v>19</v>
      </c>
      <c r="G441" t="s">
        <v>120</v>
      </c>
      <c r="H441" t="s">
        <v>15</v>
      </c>
      <c r="I441" t="s">
        <v>47</v>
      </c>
      <c r="J441" t="s">
        <v>17</v>
      </c>
      <c r="K441" t="s">
        <v>91</v>
      </c>
      <c r="L441">
        <v>1</v>
      </c>
      <c r="M441" s="6">
        <v>713</v>
      </c>
      <c r="N441" s="6">
        <v>1120</v>
      </c>
      <c r="O441" s="6">
        <f>Table1[[#This Row],[Unit_Price]]*Table1[[#This Row],[Order_Quantity]]</f>
        <v>1120</v>
      </c>
      <c r="P441" s="6">
        <f>Table1[[#This Row],[Unit_Cost]]*Table1[[#This Row],[Order_Quantity]]</f>
        <v>713</v>
      </c>
      <c r="Q441" s="4">
        <f>Table1[[#This Row],[total sales]]-Table1[[#This Row],[total cost]]</f>
        <v>407</v>
      </c>
      <c r="R441" s="6" t="s">
        <v>136</v>
      </c>
      <c r="S441" s="6" t="str">
        <f>_xlfn.CONCAT(Table1[[#This Row],[Sub_Category]],"-",Table1[[#This Row],[bike colour]])</f>
        <v>Road Bikes-yellow</v>
      </c>
    </row>
    <row r="442" spans="1:19" x14ac:dyDescent="0.3">
      <c r="A442" s="1">
        <v>44532</v>
      </c>
      <c r="B442">
        <v>2</v>
      </c>
      <c r="C442" t="s">
        <v>106</v>
      </c>
      <c r="D442">
        <v>2021</v>
      </c>
      <c r="E442">
        <v>31</v>
      </c>
      <c r="F442" t="s">
        <v>19</v>
      </c>
      <c r="G442" t="s">
        <v>120</v>
      </c>
      <c r="H442" t="s">
        <v>27</v>
      </c>
      <c r="I442" t="s">
        <v>33</v>
      </c>
      <c r="J442" t="s">
        <v>25</v>
      </c>
      <c r="K442" t="s">
        <v>97</v>
      </c>
      <c r="L442">
        <v>1</v>
      </c>
      <c r="M442" s="6">
        <v>713</v>
      </c>
      <c r="N442" s="6">
        <v>1120</v>
      </c>
      <c r="O442" s="6">
        <f>Table1[[#This Row],[Unit_Price]]*Table1[[#This Row],[Order_Quantity]]</f>
        <v>1120</v>
      </c>
      <c r="P442" s="6">
        <f>Table1[[#This Row],[Unit_Cost]]*Table1[[#This Row],[Order_Quantity]]</f>
        <v>713</v>
      </c>
      <c r="Q442" s="4">
        <f>Table1[[#This Row],[total sales]]-Table1[[#This Row],[total cost]]</f>
        <v>407</v>
      </c>
      <c r="R442" s="6" t="s">
        <v>139</v>
      </c>
      <c r="S442" s="6" t="str">
        <f>_xlfn.CONCAT(Table1[[#This Row],[Sub_Category]],"-",Table1[[#This Row],[bike colour]])</f>
        <v>Mountain Bikes-silver</v>
      </c>
    </row>
    <row r="443" spans="1:19" x14ac:dyDescent="0.3">
      <c r="A443" s="1">
        <v>44532</v>
      </c>
      <c r="B443">
        <v>2</v>
      </c>
      <c r="C443" t="s">
        <v>106</v>
      </c>
      <c r="D443">
        <v>2021</v>
      </c>
      <c r="E443">
        <v>31</v>
      </c>
      <c r="F443" t="s">
        <v>19</v>
      </c>
      <c r="G443" t="s">
        <v>120</v>
      </c>
      <c r="H443" t="s">
        <v>15</v>
      </c>
      <c r="I443" t="s">
        <v>16</v>
      </c>
      <c r="J443" t="s">
        <v>17</v>
      </c>
      <c r="K443" t="s">
        <v>108</v>
      </c>
      <c r="L443">
        <v>1</v>
      </c>
      <c r="M443" s="6">
        <v>713</v>
      </c>
      <c r="N443" s="6">
        <v>1120</v>
      </c>
      <c r="O443" s="6">
        <f>Table1[[#This Row],[Unit_Price]]*Table1[[#This Row],[Order_Quantity]]</f>
        <v>1120</v>
      </c>
      <c r="P443" s="6">
        <f>Table1[[#This Row],[Unit_Cost]]*Table1[[#This Row],[Order_Quantity]]</f>
        <v>713</v>
      </c>
      <c r="Q443" s="4">
        <f>Table1[[#This Row],[total sales]]-Table1[[#This Row],[total cost]]</f>
        <v>407</v>
      </c>
      <c r="R443" s="6" t="s">
        <v>138</v>
      </c>
      <c r="S443" s="6" t="str">
        <f>_xlfn.CONCAT(Table1[[#This Row],[Sub_Category]],"-",Table1[[#This Row],[bike colour]])</f>
        <v>Road Bikes-black</v>
      </c>
    </row>
    <row r="444" spans="1:19" x14ac:dyDescent="0.3">
      <c r="A444" s="1">
        <v>44533</v>
      </c>
      <c r="B444">
        <v>3</v>
      </c>
      <c r="C444" t="s">
        <v>106</v>
      </c>
      <c r="D444">
        <v>2021</v>
      </c>
      <c r="E444">
        <v>31</v>
      </c>
      <c r="F444" t="s">
        <v>19</v>
      </c>
      <c r="G444" t="s">
        <v>120</v>
      </c>
      <c r="H444" t="s">
        <v>15</v>
      </c>
      <c r="I444" t="s">
        <v>16</v>
      </c>
      <c r="J444" t="s">
        <v>17</v>
      </c>
      <c r="K444" t="s">
        <v>108</v>
      </c>
      <c r="L444">
        <v>4</v>
      </c>
      <c r="M444" s="6">
        <v>713</v>
      </c>
      <c r="N444" s="6">
        <v>1120</v>
      </c>
      <c r="O444" s="6">
        <f>Table1[[#This Row],[Unit_Price]]*Table1[[#This Row],[Order_Quantity]]</f>
        <v>4480</v>
      </c>
      <c r="P444" s="6">
        <f>Table1[[#This Row],[Unit_Cost]]*Table1[[#This Row],[Order_Quantity]]</f>
        <v>2852</v>
      </c>
      <c r="Q444" s="4">
        <f>Table1[[#This Row],[total sales]]-Table1[[#This Row],[total cost]]</f>
        <v>1628</v>
      </c>
      <c r="R444" s="6" t="s">
        <v>138</v>
      </c>
      <c r="S444" s="6" t="str">
        <f>_xlfn.CONCAT(Table1[[#This Row],[Sub_Category]],"-",Table1[[#This Row],[bike colour]])</f>
        <v>Road Bikes-black</v>
      </c>
    </row>
    <row r="445" spans="1:19" x14ac:dyDescent="0.3">
      <c r="A445" s="1">
        <v>44533</v>
      </c>
      <c r="B445">
        <v>3</v>
      </c>
      <c r="C445" t="s">
        <v>106</v>
      </c>
      <c r="D445">
        <v>2021</v>
      </c>
      <c r="E445">
        <v>41</v>
      </c>
      <c r="F445" t="s">
        <v>14</v>
      </c>
      <c r="G445" t="s">
        <v>120</v>
      </c>
      <c r="H445" t="s">
        <v>15</v>
      </c>
      <c r="I445" t="s">
        <v>47</v>
      </c>
      <c r="J445" t="s">
        <v>17</v>
      </c>
      <c r="K445" t="s">
        <v>57</v>
      </c>
      <c r="L445">
        <v>4</v>
      </c>
      <c r="M445" s="6">
        <v>713</v>
      </c>
      <c r="N445" s="6">
        <v>1120</v>
      </c>
      <c r="O445" s="6">
        <f>Table1[[#This Row],[Unit_Price]]*Table1[[#This Row],[Order_Quantity]]</f>
        <v>4480</v>
      </c>
      <c r="P445" s="6">
        <f>Table1[[#This Row],[Unit_Cost]]*Table1[[#This Row],[Order_Quantity]]</f>
        <v>2852</v>
      </c>
      <c r="Q445" s="4">
        <f>Table1[[#This Row],[total sales]]-Table1[[#This Row],[total cost]]</f>
        <v>1628</v>
      </c>
      <c r="R445" s="6" t="s">
        <v>138</v>
      </c>
      <c r="S445" s="6" t="str">
        <f>_xlfn.CONCAT(Table1[[#This Row],[Sub_Category]],"-",Table1[[#This Row],[bike colour]])</f>
        <v>Road Bikes-black</v>
      </c>
    </row>
    <row r="446" spans="1:19" x14ac:dyDescent="0.3">
      <c r="A446" s="1">
        <v>44533</v>
      </c>
      <c r="B446">
        <v>3</v>
      </c>
      <c r="C446" t="s">
        <v>106</v>
      </c>
      <c r="D446">
        <v>2021</v>
      </c>
      <c r="E446">
        <v>47</v>
      </c>
      <c r="F446" t="s">
        <v>14</v>
      </c>
      <c r="G446" t="s">
        <v>122</v>
      </c>
      <c r="H446" t="s">
        <v>27</v>
      </c>
      <c r="I446" t="s">
        <v>33</v>
      </c>
      <c r="J446" t="s">
        <v>17</v>
      </c>
      <c r="K446" t="s">
        <v>73</v>
      </c>
      <c r="L446">
        <v>4</v>
      </c>
      <c r="M446" s="6">
        <v>713</v>
      </c>
      <c r="N446" s="6">
        <v>1120</v>
      </c>
      <c r="O446" s="6">
        <f>Table1[[#This Row],[Unit_Price]]*Table1[[#This Row],[Order_Quantity]]</f>
        <v>4480</v>
      </c>
      <c r="P446" s="6">
        <f>Table1[[#This Row],[Unit_Cost]]*Table1[[#This Row],[Order_Quantity]]</f>
        <v>2852</v>
      </c>
      <c r="Q446" s="4">
        <f>Table1[[#This Row],[total sales]]-Table1[[#This Row],[total cost]]</f>
        <v>1628</v>
      </c>
      <c r="R446" s="6" t="s">
        <v>138</v>
      </c>
      <c r="S446" s="6" t="str">
        <f>_xlfn.CONCAT(Table1[[#This Row],[Sub_Category]],"-",Table1[[#This Row],[bike colour]])</f>
        <v>Road Bikes-black</v>
      </c>
    </row>
    <row r="447" spans="1:19" x14ac:dyDescent="0.3">
      <c r="A447" s="1">
        <v>44533</v>
      </c>
      <c r="B447">
        <v>3</v>
      </c>
      <c r="C447" t="s">
        <v>106</v>
      </c>
      <c r="D447">
        <v>2021</v>
      </c>
      <c r="E447">
        <v>59</v>
      </c>
      <c r="F447" t="s">
        <v>14</v>
      </c>
      <c r="G447" t="s">
        <v>120</v>
      </c>
      <c r="H447" t="s">
        <v>23</v>
      </c>
      <c r="I447" t="s">
        <v>24</v>
      </c>
      <c r="J447" t="s">
        <v>17</v>
      </c>
      <c r="K447" t="s">
        <v>75</v>
      </c>
      <c r="L447">
        <v>4</v>
      </c>
      <c r="M447" s="6">
        <v>713</v>
      </c>
      <c r="N447" s="6">
        <v>1120</v>
      </c>
      <c r="O447" s="6">
        <f>Table1[[#This Row],[Unit_Price]]*Table1[[#This Row],[Order_Quantity]]</f>
        <v>4480</v>
      </c>
      <c r="P447" s="6">
        <f>Table1[[#This Row],[Unit_Cost]]*Table1[[#This Row],[Order_Quantity]]</f>
        <v>2852</v>
      </c>
      <c r="Q447" s="4">
        <f>Table1[[#This Row],[total sales]]-Table1[[#This Row],[total cost]]</f>
        <v>1628</v>
      </c>
      <c r="R447" s="6" t="s">
        <v>137</v>
      </c>
      <c r="S447" s="6" t="str">
        <f>_xlfn.CONCAT(Table1[[#This Row],[Sub_Category]],"-",Table1[[#This Row],[bike colour]])</f>
        <v>Road Bikes-red</v>
      </c>
    </row>
    <row r="448" spans="1:19" x14ac:dyDescent="0.3">
      <c r="A448" s="1">
        <v>44533</v>
      </c>
      <c r="B448">
        <v>3</v>
      </c>
      <c r="C448" t="s">
        <v>106</v>
      </c>
      <c r="D448">
        <v>2021</v>
      </c>
      <c r="E448">
        <v>28</v>
      </c>
      <c r="F448" t="s">
        <v>19</v>
      </c>
      <c r="G448" t="s">
        <v>122</v>
      </c>
      <c r="H448" t="s">
        <v>50</v>
      </c>
      <c r="I448" t="s">
        <v>93</v>
      </c>
      <c r="J448" t="s">
        <v>17</v>
      </c>
      <c r="K448" t="s">
        <v>63</v>
      </c>
      <c r="L448">
        <v>3</v>
      </c>
      <c r="M448" s="6">
        <v>713</v>
      </c>
      <c r="N448" s="6">
        <v>1120</v>
      </c>
      <c r="O448" s="6">
        <f>Table1[[#This Row],[Unit_Price]]*Table1[[#This Row],[Order_Quantity]]</f>
        <v>3360</v>
      </c>
      <c r="P448" s="6">
        <f>Table1[[#This Row],[Unit_Cost]]*Table1[[#This Row],[Order_Quantity]]</f>
        <v>2139</v>
      </c>
      <c r="Q448" s="4">
        <f>Table1[[#This Row],[total sales]]-Table1[[#This Row],[total cost]]</f>
        <v>1221</v>
      </c>
      <c r="R448" s="6" t="s">
        <v>136</v>
      </c>
      <c r="S448" s="6" t="str">
        <f>_xlfn.CONCAT(Table1[[#This Row],[Sub_Category]],"-",Table1[[#This Row],[bike colour]])</f>
        <v>Road Bikes-yellow</v>
      </c>
    </row>
    <row r="449" spans="1:19" x14ac:dyDescent="0.3">
      <c r="A449" s="1">
        <v>44533</v>
      </c>
      <c r="B449">
        <v>3</v>
      </c>
      <c r="C449" t="s">
        <v>106</v>
      </c>
      <c r="D449">
        <v>2021</v>
      </c>
      <c r="E449">
        <v>34</v>
      </c>
      <c r="F449" t="s">
        <v>19</v>
      </c>
      <c r="G449" t="s">
        <v>120</v>
      </c>
      <c r="H449" t="s">
        <v>50</v>
      </c>
      <c r="I449" t="s">
        <v>94</v>
      </c>
      <c r="J449" t="s">
        <v>17</v>
      </c>
      <c r="K449" t="s">
        <v>59</v>
      </c>
      <c r="L449">
        <v>3</v>
      </c>
      <c r="M449" s="6">
        <v>713</v>
      </c>
      <c r="N449" s="6">
        <v>1120</v>
      </c>
      <c r="O449" s="6">
        <f>Table1[[#This Row],[Unit_Price]]*Table1[[#This Row],[Order_Quantity]]</f>
        <v>3360</v>
      </c>
      <c r="P449" s="6">
        <f>Table1[[#This Row],[Unit_Cost]]*Table1[[#This Row],[Order_Quantity]]</f>
        <v>2139</v>
      </c>
      <c r="Q449" s="4">
        <f>Table1[[#This Row],[total sales]]-Table1[[#This Row],[total cost]]</f>
        <v>1221</v>
      </c>
      <c r="R449" s="6" t="s">
        <v>137</v>
      </c>
      <c r="S449" s="6" t="str">
        <f>_xlfn.CONCAT(Table1[[#This Row],[Sub_Category]],"-",Table1[[#This Row],[bike colour]])</f>
        <v>Road Bikes-red</v>
      </c>
    </row>
    <row r="450" spans="1:19" x14ac:dyDescent="0.3">
      <c r="A450" s="1">
        <v>44533</v>
      </c>
      <c r="B450">
        <v>3</v>
      </c>
      <c r="C450" t="s">
        <v>106</v>
      </c>
      <c r="D450">
        <v>2021</v>
      </c>
      <c r="E450">
        <v>24</v>
      </c>
      <c r="F450" t="s">
        <v>49</v>
      </c>
      <c r="G450" t="s">
        <v>122</v>
      </c>
      <c r="H450" t="s">
        <v>42</v>
      </c>
      <c r="I450" t="s">
        <v>43</v>
      </c>
      <c r="J450" t="s">
        <v>17</v>
      </c>
      <c r="K450" t="s">
        <v>40</v>
      </c>
      <c r="L450">
        <v>2</v>
      </c>
      <c r="M450" s="6">
        <v>713</v>
      </c>
      <c r="N450" s="6">
        <v>1120</v>
      </c>
      <c r="O450" s="6">
        <f>Table1[[#This Row],[Unit_Price]]*Table1[[#This Row],[Order_Quantity]]</f>
        <v>2240</v>
      </c>
      <c r="P450" s="6">
        <f>Table1[[#This Row],[Unit_Cost]]*Table1[[#This Row],[Order_Quantity]]</f>
        <v>1426</v>
      </c>
      <c r="Q450" s="4">
        <f>Table1[[#This Row],[total sales]]-Table1[[#This Row],[total cost]]</f>
        <v>814</v>
      </c>
      <c r="R450" s="6" t="s">
        <v>138</v>
      </c>
      <c r="S450" s="6" t="str">
        <f>_xlfn.CONCAT(Table1[[#This Row],[Sub_Category]],"-",Table1[[#This Row],[bike colour]])</f>
        <v>Road Bikes-black</v>
      </c>
    </row>
    <row r="451" spans="1:19" x14ac:dyDescent="0.3">
      <c r="A451" s="1">
        <v>44533</v>
      </c>
      <c r="B451">
        <v>3</v>
      </c>
      <c r="C451" t="s">
        <v>106</v>
      </c>
      <c r="D451">
        <v>2021</v>
      </c>
      <c r="E451">
        <v>34</v>
      </c>
      <c r="F451" t="s">
        <v>19</v>
      </c>
      <c r="G451" t="s">
        <v>120</v>
      </c>
      <c r="H451" t="s">
        <v>27</v>
      </c>
      <c r="I451" t="s">
        <v>76</v>
      </c>
      <c r="J451" t="s">
        <v>17</v>
      </c>
      <c r="K451" t="s">
        <v>18</v>
      </c>
      <c r="L451">
        <v>2</v>
      </c>
      <c r="M451" s="6">
        <v>713</v>
      </c>
      <c r="N451" s="6">
        <v>1120</v>
      </c>
      <c r="O451" s="6">
        <f>Table1[[#This Row],[Unit_Price]]*Table1[[#This Row],[Order_Quantity]]</f>
        <v>2240</v>
      </c>
      <c r="P451" s="6">
        <f>Table1[[#This Row],[Unit_Cost]]*Table1[[#This Row],[Order_Quantity]]</f>
        <v>1426</v>
      </c>
      <c r="Q451" s="4">
        <f>Table1[[#This Row],[total sales]]-Table1[[#This Row],[total cost]]</f>
        <v>814</v>
      </c>
      <c r="R451" s="6" t="s">
        <v>136</v>
      </c>
      <c r="S451" s="6" t="str">
        <f>_xlfn.CONCAT(Table1[[#This Row],[Sub_Category]],"-",Table1[[#This Row],[bike colour]])</f>
        <v>Road Bikes-yellow</v>
      </c>
    </row>
    <row r="452" spans="1:19" x14ac:dyDescent="0.3">
      <c r="A452" s="1">
        <v>44533</v>
      </c>
      <c r="B452">
        <v>3</v>
      </c>
      <c r="C452" t="s">
        <v>106</v>
      </c>
      <c r="D452">
        <v>2021</v>
      </c>
      <c r="E452">
        <v>37</v>
      </c>
      <c r="F452" t="s">
        <v>14</v>
      </c>
      <c r="G452" t="s">
        <v>120</v>
      </c>
      <c r="H452" t="s">
        <v>15</v>
      </c>
      <c r="I452" t="s">
        <v>16</v>
      </c>
      <c r="J452" t="s">
        <v>25</v>
      </c>
      <c r="K452" t="s">
        <v>61</v>
      </c>
      <c r="L452">
        <v>2</v>
      </c>
      <c r="M452" s="6">
        <v>713</v>
      </c>
      <c r="N452" s="6">
        <v>1120</v>
      </c>
      <c r="O452" s="6">
        <f>Table1[[#This Row],[Unit_Price]]*Table1[[#This Row],[Order_Quantity]]</f>
        <v>2240</v>
      </c>
      <c r="P452" s="6">
        <f>Table1[[#This Row],[Unit_Cost]]*Table1[[#This Row],[Order_Quantity]]</f>
        <v>1426</v>
      </c>
      <c r="Q452" s="4">
        <f>Table1[[#This Row],[total sales]]-Table1[[#This Row],[total cost]]</f>
        <v>814</v>
      </c>
      <c r="R452" s="6" t="s">
        <v>138</v>
      </c>
      <c r="S452" s="6" t="str">
        <f>_xlfn.CONCAT(Table1[[#This Row],[Sub_Category]],"-",Table1[[#This Row],[bike colour]])</f>
        <v>Mountain Bikes-black</v>
      </c>
    </row>
    <row r="453" spans="1:19" x14ac:dyDescent="0.3">
      <c r="A453" s="1">
        <v>44533</v>
      </c>
      <c r="B453">
        <v>3</v>
      </c>
      <c r="C453" t="s">
        <v>106</v>
      </c>
      <c r="D453">
        <v>2021</v>
      </c>
      <c r="E453">
        <v>24</v>
      </c>
      <c r="F453" t="s">
        <v>49</v>
      </c>
      <c r="G453" t="s">
        <v>120</v>
      </c>
      <c r="H453" t="s">
        <v>23</v>
      </c>
      <c r="I453" t="s">
        <v>24</v>
      </c>
      <c r="J453" t="s">
        <v>25</v>
      </c>
      <c r="K453" t="s">
        <v>26</v>
      </c>
      <c r="L453">
        <v>1</v>
      </c>
      <c r="M453" s="6">
        <v>713</v>
      </c>
      <c r="N453" s="6">
        <v>1120</v>
      </c>
      <c r="O453" s="6">
        <f>Table1[[#This Row],[Unit_Price]]*Table1[[#This Row],[Order_Quantity]]</f>
        <v>1120</v>
      </c>
      <c r="P453" s="6">
        <f>Table1[[#This Row],[Unit_Cost]]*Table1[[#This Row],[Order_Quantity]]</f>
        <v>713</v>
      </c>
      <c r="Q453" s="4">
        <f>Table1[[#This Row],[total sales]]-Table1[[#This Row],[total cost]]</f>
        <v>407</v>
      </c>
      <c r="R453" s="6" t="s">
        <v>138</v>
      </c>
      <c r="S453" s="6" t="str">
        <f>_xlfn.CONCAT(Table1[[#This Row],[Sub_Category]],"-",Table1[[#This Row],[bike colour]])</f>
        <v>Mountain Bikes-black</v>
      </c>
    </row>
    <row r="454" spans="1:19" x14ac:dyDescent="0.3">
      <c r="A454" s="1">
        <v>44533</v>
      </c>
      <c r="B454">
        <v>3</v>
      </c>
      <c r="C454" t="s">
        <v>106</v>
      </c>
      <c r="D454">
        <v>2021</v>
      </c>
      <c r="E454">
        <v>28</v>
      </c>
      <c r="F454" t="s">
        <v>19</v>
      </c>
      <c r="G454" t="s">
        <v>120</v>
      </c>
      <c r="H454" t="s">
        <v>27</v>
      </c>
      <c r="I454" t="s">
        <v>33</v>
      </c>
      <c r="J454" t="s">
        <v>17</v>
      </c>
      <c r="K454" t="s">
        <v>57</v>
      </c>
      <c r="L454">
        <v>1</v>
      </c>
      <c r="M454" s="6">
        <v>713</v>
      </c>
      <c r="N454" s="6">
        <v>1120</v>
      </c>
      <c r="O454" s="6">
        <f>Table1[[#This Row],[Unit_Price]]*Table1[[#This Row],[Order_Quantity]]</f>
        <v>1120</v>
      </c>
      <c r="P454" s="6">
        <f>Table1[[#This Row],[Unit_Cost]]*Table1[[#This Row],[Order_Quantity]]</f>
        <v>713</v>
      </c>
      <c r="Q454" s="4">
        <f>Table1[[#This Row],[total sales]]-Table1[[#This Row],[total cost]]</f>
        <v>407</v>
      </c>
      <c r="R454" s="6" t="s">
        <v>138</v>
      </c>
      <c r="S454" s="6" t="str">
        <f>_xlfn.CONCAT(Table1[[#This Row],[Sub_Category]],"-",Table1[[#This Row],[bike colour]])</f>
        <v>Road Bikes-black</v>
      </c>
    </row>
    <row r="455" spans="1:19" x14ac:dyDescent="0.3">
      <c r="A455" s="1">
        <v>44533</v>
      </c>
      <c r="B455">
        <v>3</v>
      </c>
      <c r="C455" t="s">
        <v>106</v>
      </c>
      <c r="D455">
        <v>2021</v>
      </c>
      <c r="E455">
        <v>28</v>
      </c>
      <c r="F455" t="s">
        <v>19</v>
      </c>
      <c r="G455" t="s">
        <v>122</v>
      </c>
      <c r="H455" t="s">
        <v>50</v>
      </c>
      <c r="I455" t="s">
        <v>94</v>
      </c>
      <c r="J455" t="s">
        <v>17</v>
      </c>
      <c r="K455" t="s">
        <v>91</v>
      </c>
      <c r="L455">
        <v>1</v>
      </c>
      <c r="M455" s="6">
        <v>713</v>
      </c>
      <c r="N455" s="6">
        <v>1120</v>
      </c>
      <c r="O455" s="6">
        <f>Table1[[#This Row],[Unit_Price]]*Table1[[#This Row],[Order_Quantity]]</f>
        <v>1120</v>
      </c>
      <c r="P455" s="6">
        <f>Table1[[#This Row],[Unit_Cost]]*Table1[[#This Row],[Order_Quantity]]</f>
        <v>713</v>
      </c>
      <c r="Q455" s="4">
        <f>Table1[[#This Row],[total sales]]-Table1[[#This Row],[total cost]]</f>
        <v>407</v>
      </c>
      <c r="R455" s="6" t="s">
        <v>136</v>
      </c>
      <c r="S455" s="6" t="str">
        <f>_xlfn.CONCAT(Table1[[#This Row],[Sub_Category]],"-",Table1[[#This Row],[bike colour]])</f>
        <v>Road Bikes-yellow</v>
      </c>
    </row>
    <row r="456" spans="1:19" x14ac:dyDescent="0.3">
      <c r="A456" s="1">
        <v>44533</v>
      </c>
      <c r="B456">
        <v>3</v>
      </c>
      <c r="C456" t="s">
        <v>106</v>
      </c>
      <c r="D456">
        <v>2021</v>
      </c>
      <c r="E456">
        <v>34</v>
      </c>
      <c r="F456" t="s">
        <v>19</v>
      </c>
      <c r="G456" t="s">
        <v>120</v>
      </c>
      <c r="H456" t="s">
        <v>23</v>
      </c>
      <c r="I456" t="s">
        <v>24</v>
      </c>
      <c r="J456" t="s">
        <v>17</v>
      </c>
      <c r="K456" t="s">
        <v>36</v>
      </c>
      <c r="L456">
        <v>1</v>
      </c>
      <c r="M456" s="6">
        <v>713</v>
      </c>
      <c r="N456" s="6">
        <v>1120</v>
      </c>
      <c r="O456" s="6">
        <f>Table1[[#This Row],[Unit_Price]]*Table1[[#This Row],[Order_Quantity]]</f>
        <v>1120</v>
      </c>
      <c r="P456" s="6">
        <f>Table1[[#This Row],[Unit_Cost]]*Table1[[#This Row],[Order_Quantity]]</f>
        <v>713</v>
      </c>
      <c r="Q456" s="4">
        <f>Table1[[#This Row],[total sales]]-Table1[[#This Row],[total cost]]</f>
        <v>407</v>
      </c>
      <c r="R456" s="6" t="s">
        <v>136</v>
      </c>
      <c r="S456" s="6" t="str">
        <f>_xlfn.CONCAT(Table1[[#This Row],[Sub_Category]],"-",Table1[[#This Row],[bike colour]])</f>
        <v>Road Bikes-yellow</v>
      </c>
    </row>
    <row r="457" spans="1:19" x14ac:dyDescent="0.3">
      <c r="A457" s="1">
        <v>44533</v>
      </c>
      <c r="B457">
        <v>3</v>
      </c>
      <c r="C457" t="s">
        <v>106</v>
      </c>
      <c r="D457">
        <v>2021</v>
      </c>
      <c r="E457">
        <v>37</v>
      </c>
      <c r="F457" t="s">
        <v>14</v>
      </c>
      <c r="G457" t="s">
        <v>122</v>
      </c>
      <c r="H457" t="s">
        <v>15</v>
      </c>
      <c r="I457" t="s">
        <v>47</v>
      </c>
      <c r="J457" t="s">
        <v>25</v>
      </c>
      <c r="K457" t="s">
        <v>61</v>
      </c>
      <c r="L457">
        <v>1</v>
      </c>
      <c r="M457" s="6">
        <v>713</v>
      </c>
      <c r="N457" s="6">
        <v>1120</v>
      </c>
      <c r="O457" s="6">
        <f>Table1[[#This Row],[Unit_Price]]*Table1[[#This Row],[Order_Quantity]]</f>
        <v>1120</v>
      </c>
      <c r="P457" s="6">
        <f>Table1[[#This Row],[Unit_Cost]]*Table1[[#This Row],[Order_Quantity]]</f>
        <v>713</v>
      </c>
      <c r="Q457" s="4">
        <f>Table1[[#This Row],[total sales]]-Table1[[#This Row],[total cost]]</f>
        <v>407</v>
      </c>
      <c r="R457" s="6" t="s">
        <v>138</v>
      </c>
      <c r="S457" s="6" t="str">
        <f>_xlfn.CONCAT(Table1[[#This Row],[Sub_Category]],"-",Table1[[#This Row],[bike colour]])</f>
        <v>Mountain Bikes-black</v>
      </c>
    </row>
    <row r="458" spans="1:19" x14ac:dyDescent="0.3">
      <c r="A458" s="1">
        <v>44533</v>
      </c>
      <c r="B458">
        <v>3</v>
      </c>
      <c r="C458" t="s">
        <v>106</v>
      </c>
      <c r="D458">
        <v>2021</v>
      </c>
      <c r="E458">
        <v>45</v>
      </c>
      <c r="F458" t="s">
        <v>14</v>
      </c>
      <c r="G458" t="s">
        <v>120</v>
      </c>
      <c r="H458" t="s">
        <v>27</v>
      </c>
      <c r="I458" t="s">
        <v>33</v>
      </c>
      <c r="J458" t="s">
        <v>17</v>
      </c>
      <c r="K458" t="s">
        <v>18</v>
      </c>
      <c r="L458">
        <v>1</v>
      </c>
      <c r="M458" s="6">
        <v>713</v>
      </c>
      <c r="N458" s="6">
        <v>1120</v>
      </c>
      <c r="O458" s="6">
        <f>Table1[[#This Row],[Unit_Price]]*Table1[[#This Row],[Order_Quantity]]</f>
        <v>1120</v>
      </c>
      <c r="P458" s="6">
        <f>Table1[[#This Row],[Unit_Cost]]*Table1[[#This Row],[Order_Quantity]]</f>
        <v>713</v>
      </c>
      <c r="Q458" s="4">
        <f>Table1[[#This Row],[total sales]]-Table1[[#This Row],[total cost]]</f>
        <v>407</v>
      </c>
      <c r="R458" s="6" t="s">
        <v>136</v>
      </c>
      <c r="S458" s="6" t="str">
        <f>_xlfn.CONCAT(Table1[[#This Row],[Sub_Category]],"-",Table1[[#This Row],[bike colour]])</f>
        <v>Road Bikes-yellow</v>
      </c>
    </row>
    <row r="459" spans="1:19" x14ac:dyDescent="0.3">
      <c r="A459" s="1">
        <v>44533</v>
      </c>
      <c r="B459">
        <v>3</v>
      </c>
      <c r="C459" t="s">
        <v>106</v>
      </c>
      <c r="D459">
        <v>2021</v>
      </c>
      <c r="E459">
        <v>54</v>
      </c>
      <c r="F459" t="s">
        <v>14</v>
      </c>
      <c r="G459" t="s">
        <v>122</v>
      </c>
      <c r="H459" t="s">
        <v>15</v>
      </c>
      <c r="I459" t="s">
        <v>16</v>
      </c>
      <c r="J459" t="s">
        <v>17</v>
      </c>
      <c r="K459" t="s">
        <v>91</v>
      </c>
      <c r="L459">
        <v>1</v>
      </c>
      <c r="M459" s="6">
        <v>713</v>
      </c>
      <c r="N459" s="6">
        <v>1120</v>
      </c>
      <c r="O459" s="6">
        <f>Table1[[#This Row],[Unit_Price]]*Table1[[#This Row],[Order_Quantity]]</f>
        <v>1120</v>
      </c>
      <c r="P459" s="6">
        <f>Table1[[#This Row],[Unit_Cost]]*Table1[[#This Row],[Order_Quantity]]</f>
        <v>713</v>
      </c>
      <c r="Q459" s="4">
        <f>Table1[[#This Row],[total sales]]-Table1[[#This Row],[total cost]]</f>
        <v>407</v>
      </c>
      <c r="R459" s="6" t="s">
        <v>136</v>
      </c>
      <c r="S459" s="6" t="str">
        <f>_xlfn.CONCAT(Table1[[#This Row],[Sub_Category]],"-",Table1[[#This Row],[bike colour]])</f>
        <v>Road Bikes-yellow</v>
      </c>
    </row>
    <row r="460" spans="1:19" x14ac:dyDescent="0.3">
      <c r="A460" s="1">
        <v>44534</v>
      </c>
      <c r="B460">
        <v>4</v>
      </c>
      <c r="C460" t="s">
        <v>106</v>
      </c>
      <c r="D460">
        <v>2021</v>
      </c>
      <c r="E460">
        <v>31</v>
      </c>
      <c r="F460" t="s">
        <v>19</v>
      </c>
      <c r="G460" t="s">
        <v>120</v>
      </c>
      <c r="H460" t="s">
        <v>27</v>
      </c>
      <c r="I460" t="s">
        <v>33</v>
      </c>
      <c r="J460" t="s">
        <v>25</v>
      </c>
      <c r="K460" t="s">
        <v>97</v>
      </c>
      <c r="L460">
        <v>4</v>
      </c>
      <c r="M460" s="6">
        <v>713</v>
      </c>
      <c r="N460" s="6">
        <v>1120</v>
      </c>
      <c r="O460" s="6">
        <f>Table1[[#This Row],[Unit_Price]]*Table1[[#This Row],[Order_Quantity]]</f>
        <v>4480</v>
      </c>
      <c r="P460" s="6">
        <f>Table1[[#This Row],[Unit_Cost]]*Table1[[#This Row],[Order_Quantity]]</f>
        <v>2852</v>
      </c>
      <c r="Q460" s="4">
        <f>Table1[[#This Row],[total sales]]-Table1[[#This Row],[total cost]]</f>
        <v>1628</v>
      </c>
      <c r="R460" s="6" t="s">
        <v>139</v>
      </c>
      <c r="S460" s="6" t="str">
        <f>_xlfn.CONCAT(Table1[[#This Row],[Sub_Category]],"-",Table1[[#This Row],[bike colour]])</f>
        <v>Mountain Bikes-silver</v>
      </c>
    </row>
    <row r="461" spans="1:19" x14ac:dyDescent="0.3">
      <c r="A461" s="1">
        <v>44534</v>
      </c>
      <c r="B461">
        <v>4</v>
      </c>
      <c r="C461" t="s">
        <v>106</v>
      </c>
      <c r="D461">
        <v>2021</v>
      </c>
      <c r="E461">
        <v>22</v>
      </c>
      <c r="F461" t="s">
        <v>49</v>
      </c>
      <c r="G461" t="s">
        <v>120</v>
      </c>
      <c r="H461" t="s">
        <v>15</v>
      </c>
      <c r="I461" t="s">
        <v>82</v>
      </c>
      <c r="J461" t="s">
        <v>17</v>
      </c>
      <c r="K461" t="s">
        <v>40</v>
      </c>
      <c r="L461">
        <v>1</v>
      </c>
      <c r="M461" s="6">
        <v>713</v>
      </c>
      <c r="N461" s="6">
        <v>1120</v>
      </c>
      <c r="O461" s="6">
        <f>Table1[[#This Row],[Unit_Price]]*Table1[[#This Row],[Order_Quantity]]</f>
        <v>1120</v>
      </c>
      <c r="P461" s="6">
        <f>Table1[[#This Row],[Unit_Cost]]*Table1[[#This Row],[Order_Quantity]]</f>
        <v>713</v>
      </c>
      <c r="Q461" s="4">
        <f>Table1[[#This Row],[total sales]]-Table1[[#This Row],[total cost]]</f>
        <v>407</v>
      </c>
      <c r="R461" s="6" t="s">
        <v>138</v>
      </c>
      <c r="S461" s="6" t="str">
        <f>_xlfn.CONCAT(Table1[[#This Row],[Sub_Category]],"-",Table1[[#This Row],[bike colour]])</f>
        <v>Road Bikes-black</v>
      </c>
    </row>
    <row r="462" spans="1:19" x14ac:dyDescent="0.3">
      <c r="A462" s="1">
        <v>44534</v>
      </c>
      <c r="B462">
        <v>4</v>
      </c>
      <c r="C462" t="s">
        <v>106</v>
      </c>
      <c r="D462">
        <v>2021</v>
      </c>
      <c r="E462">
        <v>27</v>
      </c>
      <c r="F462" t="s">
        <v>19</v>
      </c>
      <c r="G462" t="s">
        <v>122</v>
      </c>
      <c r="H462" t="s">
        <v>15</v>
      </c>
      <c r="I462" t="s">
        <v>16</v>
      </c>
      <c r="J462" t="s">
        <v>17</v>
      </c>
      <c r="K462" t="s">
        <v>81</v>
      </c>
      <c r="L462">
        <v>1</v>
      </c>
      <c r="M462" s="6">
        <v>713</v>
      </c>
      <c r="N462" s="6">
        <v>1120</v>
      </c>
      <c r="O462" s="6">
        <f>Table1[[#This Row],[Unit_Price]]*Table1[[#This Row],[Order_Quantity]]</f>
        <v>1120</v>
      </c>
      <c r="P462" s="6">
        <f>Table1[[#This Row],[Unit_Cost]]*Table1[[#This Row],[Order_Quantity]]</f>
        <v>713</v>
      </c>
      <c r="Q462" s="4">
        <f>Table1[[#This Row],[total sales]]-Table1[[#This Row],[total cost]]</f>
        <v>407</v>
      </c>
      <c r="R462" s="6" t="s">
        <v>136</v>
      </c>
      <c r="S462" s="6" t="str">
        <f>_xlfn.CONCAT(Table1[[#This Row],[Sub_Category]],"-",Table1[[#This Row],[bike colour]])</f>
        <v>Road Bikes-yellow</v>
      </c>
    </row>
    <row r="463" spans="1:19" x14ac:dyDescent="0.3">
      <c r="A463" s="1">
        <v>44535</v>
      </c>
      <c r="B463">
        <v>5</v>
      </c>
      <c r="C463" t="s">
        <v>106</v>
      </c>
      <c r="D463">
        <v>2021</v>
      </c>
      <c r="E463">
        <v>39</v>
      </c>
      <c r="F463" t="s">
        <v>14</v>
      </c>
      <c r="G463" t="s">
        <v>120</v>
      </c>
      <c r="H463" t="s">
        <v>15</v>
      </c>
      <c r="I463" t="s">
        <v>16</v>
      </c>
      <c r="J463" t="s">
        <v>25</v>
      </c>
      <c r="K463" t="s">
        <v>61</v>
      </c>
      <c r="L463">
        <v>4</v>
      </c>
      <c r="M463" s="6">
        <v>713</v>
      </c>
      <c r="N463" s="6">
        <v>1120</v>
      </c>
      <c r="O463" s="6">
        <f>Table1[[#This Row],[Unit_Price]]*Table1[[#This Row],[Order_Quantity]]</f>
        <v>4480</v>
      </c>
      <c r="P463" s="6">
        <f>Table1[[#This Row],[Unit_Cost]]*Table1[[#This Row],[Order_Quantity]]</f>
        <v>2852</v>
      </c>
      <c r="Q463" s="4">
        <f>Table1[[#This Row],[total sales]]-Table1[[#This Row],[total cost]]</f>
        <v>1628</v>
      </c>
      <c r="R463" s="6" t="s">
        <v>138</v>
      </c>
      <c r="S463" s="6" t="str">
        <f>_xlfn.CONCAT(Table1[[#This Row],[Sub_Category]],"-",Table1[[#This Row],[bike colour]])</f>
        <v>Mountain Bikes-black</v>
      </c>
    </row>
    <row r="464" spans="1:19" x14ac:dyDescent="0.3">
      <c r="A464" s="1">
        <v>44535</v>
      </c>
      <c r="B464">
        <v>5</v>
      </c>
      <c r="C464" t="s">
        <v>106</v>
      </c>
      <c r="D464">
        <v>2021</v>
      </c>
      <c r="E464">
        <v>42</v>
      </c>
      <c r="F464" t="s">
        <v>14</v>
      </c>
      <c r="G464" t="s">
        <v>122</v>
      </c>
      <c r="H464" t="s">
        <v>42</v>
      </c>
      <c r="I464" t="s">
        <v>58</v>
      </c>
      <c r="J464" t="s">
        <v>25</v>
      </c>
      <c r="K464" t="s">
        <v>26</v>
      </c>
      <c r="L464">
        <v>4</v>
      </c>
      <c r="M464" s="6">
        <v>713</v>
      </c>
      <c r="N464" s="6">
        <v>1120</v>
      </c>
      <c r="O464" s="6">
        <f>Table1[[#This Row],[Unit_Price]]*Table1[[#This Row],[Order_Quantity]]</f>
        <v>4480</v>
      </c>
      <c r="P464" s="6">
        <f>Table1[[#This Row],[Unit_Cost]]*Table1[[#This Row],[Order_Quantity]]</f>
        <v>2852</v>
      </c>
      <c r="Q464" s="4">
        <f>Table1[[#This Row],[total sales]]-Table1[[#This Row],[total cost]]</f>
        <v>1628</v>
      </c>
      <c r="R464" s="6" t="s">
        <v>138</v>
      </c>
      <c r="S464" s="6" t="str">
        <f>_xlfn.CONCAT(Table1[[#This Row],[Sub_Category]],"-",Table1[[#This Row],[bike colour]])</f>
        <v>Mountain Bikes-black</v>
      </c>
    </row>
    <row r="465" spans="1:19" x14ac:dyDescent="0.3">
      <c r="A465" s="1">
        <v>44535</v>
      </c>
      <c r="B465">
        <v>5</v>
      </c>
      <c r="C465" t="s">
        <v>106</v>
      </c>
      <c r="D465">
        <v>2021</v>
      </c>
      <c r="E465">
        <v>60</v>
      </c>
      <c r="F465" t="s">
        <v>14</v>
      </c>
      <c r="G465" t="s">
        <v>122</v>
      </c>
      <c r="H465" t="s">
        <v>15</v>
      </c>
      <c r="I465" t="s">
        <v>16</v>
      </c>
      <c r="J465" t="s">
        <v>17</v>
      </c>
      <c r="K465" t="s">
        <v>54</v>
      </c>
      <c r="L465">
        <v>4</v>
      </c>
      <c r="M465" s="6">
        <v>713</v>
      </c>
      <c r="N465" s="6">
        <v>1120</v>
      </c>
      <c r="O465" s="6">
        <f>Table1[[#This Row],[Unit_Price]]*Table1[[#This Row],[Order_Quantity]]</f>
        <v>4480</v>
      </c>
      <c r="P465" s="6">
        <f>Table1[[#This Row],[Unit_Cost]]*Table1[[#This Row],[Order_Quantity]]</f>
        <v>2852</v>
      </c>
      <c r="Q465" s="4">
        <f>Table1[[#This Row],[total sales]]-Table1[[#This Row],[total cost]]</f>
        <v>1628</v>
      </c>
      <c r="R465" s="6" t="s">
        <v>137</v>
      </c>
      <c r="S465" s="6" t="str">
        <f>_xlfn.CONCAT(Table1[[#This Row],[Sub_Category]],"-",Table1[[#This Row],[bike colour]])</f>
        <v>Road Bikes-red</v>
      </c>
    </row>
    <row r="466" spans="1:19" x14ac:dyDescent="0.3">
      <c r="A466" s="1">
        <v>44535</v>
      </c>
      <c r="B466">
        <v>5</v>
      </c>
      <c r="C466" t="s">
        <v>106</v>
      </c>
      <c r="D466">
        <v>2021</v>
      </c>
      <c r="E466">
        <v>27</v>
      </c>
      <c r="F466" t="s">
        <v>19</v>
      </c>
      <c r="G466" t="s">
        <v>122</v>
      </c>
      <c r="H466" t="s">
        <v>50</v>
      </c>
      <c r="I466" t="s">
        <v>109</v>
      </c>
      <c r="J466" t="s">
        <v>17</v>
      </c>
      <c r="K466" t="s">
        <v>79</v>
      </c>
      <c r="L466">
        <v>3</v>
      </c>
      <c r="M466" s="6">
        <v>713</v>
      </c>
      <c r="N466" s="6">
        <v>1120</v>
      </c>
      <c r="O466" s="6">
        <f>Table1[[#This Row],[Unit_Price]]*Table1[[#This Row],[Order_Quantity]]</f>
        <v>3360</v>
      </c>
      <c r="P466" s="6">
        <f>Table1[[#This Row],[Unit_Cost]]*Table1[[#This Row],[Order_Quantity]]</f>
        <v>2139</v>
      </c>
      <c r="Q466" s="4">
        <f>Table1[[#This Row],[total sales]]-Table1[[#This Row],[total cost]]</f>
        <v>1221</v>
      </c>
      <c r="R466" s="6" t="s">
        <v>137</v>
      </c>
      <c r="S466" s="6" t="str">
        <f>_xlfn.CONCAT(Table1[[#This Row],[Sub_Category]],"-",Table1[[#This Row],[bike colour]])</f>
        <v>Road Bikes-red</v>
      </c>
    </row>
    <row r="467" spans="1:19" x14ac:dyDescent="0.3">
      <c r="A467" s="1">
        <v>44535</v>
      </c>
      <c r="B467">
        <v>5</v>
      </c>
      <c r="C467" t="s">
        <v>106</v>
      </c>
      <c r="D467">
        <v>2021</v>
      </c>
      <c r="E467">
        <v>29</v>
      </c>
      <c r="F467" t="s">
        <v>19</v>
      </c>
      <c r="G467" t="s">
        <v>122</v>
      </c>
      <c r="H467" t="s">
        <v>27</v>
      </c>
      <c r="I467" t="s">
        <v>33</v>
      </c>
      <c r="J467" t="s">
        <v>17</v>
      </c>
      <c r="K467" t="s">
        <v>80</v>
      </c>
      <c r="L467">
        <v>2</v>
      </c>
      <c r="M467" s="6">
        <v>713</v>
      </c>
      <c r="N467" s="6">
        <v>1120</v>
      </c>
      <c r="O467" s="6">
        <f>Table1[[#This Row],[Unit_Price]]*Table1[[#This Row],[Order_Quantity]]</f>
        <v>2240</v>
      </c>
      <c r="P467" s="6">
        <f>Table1[[#This Row],[Unit_Cost]]*Table1[[#This Row],[Order_Quantity]]</f>
        <v>1426</v>
      </c>
      <c r="Q467" s="4">
        <f>Table1[[#This Row],[total sales]]-Table1[[#This Row],[total cost]]</f>
        <v>814</v>
      </c>
      <c r="R467" s="6" t="s">
        <v>138</v>
      </c>
      <c r="S467" s="6" t="str">
        <f>_xlfn.CONCAT(Table1[[#This Row],[Sub_Category]],"-",Table1[[#This Row],[bike colour]])</f>
        <v>Road Bikes-black</v>
      </c>
    </row>
    <row r="468" spans="1:19" x14ac:dyDescent="0.3">
      <c r="A468" s="1">
        <v>44535</v>
      </c>
      <c r="B468">
        <v>5</v>
      </c>
      <c r="C468" t="s">
        <v>106</v>
      </c>
      <c r="D468">
        <v>2021</v>
      </c>
      <c r="E468">
        <v>48</v>
      </c>
      <c r="F468" t="s">
        <v>14</v>
      </c>
      <c r="G468" t="s">
        <v>122</v>
      </c>
      <c r="H468" t="s">
        <v>20</v>
      </c>
      <c r="I468" t="s">
        <v>21</v>
      </c>
      <c r="J468" t="s">
        <v>17</v>
      </c>
      <c r="K468" t="s">
        <v>41</v>
      </c>
      <c r="L468">
        <v>2</v>
      </c>
      <c r="M468" s="6">
        <v>713</v>
      </c>
      <c r="N468" s="6">
        <v>1120</v>
      </c>
      <c r="O468" s="6">
        <f>Table1[[#This Row],[Unit_Price]]*Table1[[#This Row],[Order_Quantity]]</f>
        <v>2240</v>
      </c>
      <c r="P468" s="6">
        <f>Table1[[#This Row],[Unit_Cost]]*Table1[[#This Row],[Order_Quantity]]</f>
        <v>1426</v>
      </c>
      <c r="Q468" s="4">
        <f>Table1[[#This Row],[total sales]]-Table1[[#This Row],[total cost]]</f>
        <v>814</v>
      </c>
      <c r="R468" s="6" t="s">
        <v>138</v>
      </c>
      <c r="S468" s="6" t="str">
        <f>_xlfn.CONCAT(Table1[[#This Row],[Sub_Category]],"-",Table1[[#This Row],[bike colour]])</f>
        <v>Road Bikes-black</v>
      </c>
    </row>
    <row r="469" spans="1:19" x14ac:dyDescent="0.3">
      <c r="A469" s="1">
        <v>44535</v>
      </c>
      <c r="B469">
        <v>5</v>
      </c>
      <c r="C469" t="s">
        <v>106</v>
      </c>
      <c r="D469">
        <v>2021</v>
      </c>
      <c r="E469">
        <v>28</v>
      </c>
      <c r="F469" t="s">
        <v>19</v>
      </c>
      <c r="G469" t="s">
        <v>120</v>
      </c>
      <c r="H469" t="s">
        <v>15</v>
      </c>
      <c r="I469" t="s">
        <v>16</v>
      </c>
      <c r="J469" t="s">
        <v>17</v>
      </c>
      <c r="K469" t="s">
        <v>80</v>
      </c>
      <c r="L469">
        <v>1</v>
      </c>
      <c r="M469" s="6">
        <v>713</v>
      </c>
      <c r="N469" s="6">
        <v>1120</v>
      </c>
      <c r="O469" s="6">
        <f>Table1[[#This Row],[Unit_Price]]*Table1[[#This Row],[Order_Quantity]]</f>
        <v>1120</v>
      </c>
      <c r="P469" s="6">
        <f>Table1[[#This Row],[Unit_Cost]]*Table1[[#This Row],[Order_Quantity]]</f>
        <v>713</v>
      </c>
      <c r="Q469" s="4">
        <f>Table1[[#This Row],[total sales]]-Table1[[#This Row],[total cost]]</f>
        <v>407</v>
      </c>
      <c r="R469" s="6" t="s">
        <v>138</v>
      </c>
      <c r="S469" s="6" t="str">
        <f>_xlfn.CONCAT(Table1[[#This Row],[Sub_Category]],"-",Table1[[#This Row],[bike colour]])</f>
        <v>Road Bikes-black</v>
      </c>
    </row>
    <row r="470" spans="1:19" x14ac:dyDescent="0.3">
      <c r="A470" s="1">
        <v>44535</v>
      </c>
      <c r="B470">
        <v>5</v>
      </c>
      <c r="C470" t="s">
        <v>106</v>
      </c>
      <c r="D470">
        <v>2021</v>
      </c>
      <c r="E470">
        <v>28</v>
      </c>
      <c r="F470" t="s">
        <v>19</v>
      </c>
      <c r="G470" t="s">
        <v>120</v>
      </c>
      <c r="H470" t="s">
        <v>20</v>
      </c>
      <c r="I470" t="s">
        <v>21</v>
      </c>
      <c r="J470" t="s">
        <v>17</v>
      </c>
      <c r="K470" t="s">
        <v>75</v>
      </c>
      <c r="L470">
        <v>1</v>
      </c>
      <c r="M470" s="6">
        <v>713</v>
      </c>
      <c r="N470" s="6">
        <v>1120</v>
      </c>
      <c r="O470" s="6">
        <f>Table1[[#This Row],[Unit_Price]]*Table1[[#This Row],[Order_Quantity]]</f>
        <v>1120</v>
      </c>
      <c r="P470" s="6">
        <f>Table1[[#This Row],[Unit_Cost]]*Table1[[#This Row],[Order_Quantity]]</f>
        <v>713</v>
      </c>
      <c r="Q470" s="4">
        <f>Table1[[#This Row],[total sales]]-Table1[[#This Row],[total cost]]</f>
        <v>407</v>
      </c>
      <c r="R470" s="6" t="s">
        <v>137</v>
      </c>
      <c r="S470" s="6" t="str">
        <f>_xlfn.CONCAT(Table1[[#This Row],[Sub_Category]],"-",Table1[[#This Row],[bike colour]])</f>
        <v>Road Bikes-red</v>
      </c>
    </row>
    <row r="471" spans="1:19" x14ac:dyDescent="0.3">
      <c r="A471" s="1">
        <v>44535</v>
      </c>
      <c r="B471">
        <v>5</v>
      </c>
      <c r="C471" t="s">
        <v>106</v>
      </c>
      <c r="D471">
        <v>2021</v>
      </c>
      <c r="E471">
        <v>29</v>
      </c>
      <c r="F471" t="s">
        <v>19</v>
      </c>
      <c r="G471" t="s">
        <v>122</v>
      </c>
      <c r="H471" t="s">
        <v>50</v>
      </c>
      <c r="I471" t="s">
        <v>51</v>
      </c>
      <c r="J471" t="s">
        <v>17</v>
      </c>
      <c r="K471" t="s">
        <v>59</v>
      </c>
      <c r="L471">
        <v>1</v>
      </c>
      <c r="M471" s="6">
        <v>713</v>
      </c>
      <c r="N471" s="6">
        <v>1120</v>
      </c>
      <c r="O471" s="6">
        <f>Table1[[#This Row],[Unit_Price]]*Table1[[#This Row],[Order_Quantity]]</f>
        <v>1120</v>
      </c>
      <c r="P471" s="6">
        <f>Table1[[#This Row],[Unit_Cost]]*Table1[[#This Row],[Order_Quantity]]</f>
        <v>713</v>
      </c>
      <c r="Q471" s="4">
        <f>Table1[[#This Row],[total sales]]-Table1[[#This Row],[total cost]]</f>
        <v>407</v>
      </c>
      <c r="R471" s="6" t="s">
        <v>137</v>
      </c>
      <c r="S471" s="6" t="str">
        <f>_xlfn.CONCAT(Table1[[#This Row],[Sub_Category]],"-",Table1[[#This Row],[bike colour]])</f>
        <v>Road Bikes-red</v>
      </c>
    </row>
    <row r="472" spans="1:19" x14ac:dyDescent="0.3">
      <c r="A472" s="1">
        <v>44535</v>
      </c>
      <c r="B472">
        <v>5</v>
      </c>
      <c r="C472" t="s">
        <v>106</v>
      </c>
      <c r="D472">
        <v>2021</v>
      </c>
      <c r="E472">
        <v>35</v>
      </c>
      <c r="F472" t="s">
        <v>14</v>
      </c>
      <c r="G472" t="s">
        <v>120</v>
      </c>
      <c r="H472" t="s">
        <v>27</v>
      </c>
      <c r="I472" t="s">
        <v>28</v>
      </c>
      <c r="J472" t="s">
        <v>25</v>
      </c>
      <c r="K472" t="s">
        <v>31</v>
      </c>
      <c r="L472">
        <v>1</v>
      </c>
      <c r="M472" s="6">
        <v>713</v>
      </c>
      <c r="N472" s="6">
        <v>1120</v>
      </c>
      <c r="O472" s="6">
        <f>Table1[[#This Row],[Unit_Price]]*Table1[[#This Row],[Order_Quantity]]</f>
        <v>1120</v>
      </c>
      <c r="P472" s="6">
        <f>Table1[[#This Row],[Unit_Cost]]*Table1[[#This Row],[Order_Quantity]]</f>
        <v>713</v>
      </c>
      <c r="Q472" s="4">
        <f>Table1[[#This Row],[total sales]]-Table1[[#This Row],[total cost]]</f>
        <v>407</v>
      </c>
      <c r="R472" s="6" t="s">
        <v>139</v>
      </c>
      <c r="S472" s="6" t="str">
        <f>_xlfn.CONCAT(Table1[[#This Row],[Sub_Category]],"-",Table1[[#This Row],[bike colour]])</f>
        <v>Mountain Bikes-silver</v>
      </c>
    </row>
    <row r="473" spans="1:19" x14ac:dyDescent="0.3">
      <c r="A473" s="1">
        <v>44535</v>
      </c>
      <c r="B473">
        <v>5</v>
      </c>
      <c r="C473" t="s">
        <v>106</v>
      </c>
      <c r="D473">
        <v>2021</v>
      </c>
      <c r="E473">
        <v>37</v>
      </c>
      <c r="F473" t="s">
        <v>14</v>
      </c>
      <c r="G473" t="s">
        <v>120</v>
      </c>
      <c r="H473" t="s">
        <v>15</v>
      </c>
      <c r="I473" t="s">
        <v>16</v>
      </c>
      <c r="J473" t="s">
        <v>25</v>
      </c>
      <c r="K473" t="s">
        <v>61</v>
      </c>
      <c r="L473">
        <v>1</v>
      </c>
      <c r="M473" s="6">
        <v>713</v>
      </c>
      <c r="N473" s="6">
        <v>1120</v>
      </c>
      <c r="O473" s="6">
        <f>Table1[[#This Row],[Unit_Price]]*Table1[[#This Row],[Order_Quantity]]</f>
        <v>1120</v>
      </c>
      <c r="P473" s="6">
        <f>Table1[[#This Row],[Unit_Cost]]*Table1[[#This Row],[Order_Quantity]]</f>
        <v>713</v>
      </c>
      <c r="Q473" s="4">
        <f>Table1[[#This Row],[total sales]]-Table1[[#This Row],[total cost]]</f>
        <v>407</v>
      </c>
      <c r="R473" s="6" t="s">
        <v>138</v>
      </c>
      <c r="S473" s="6" t="str">
        <f>_xlfn.CONCAT(Table1[[#This Row],[Sub_Category]],"-",Table1[[#This Row],[bike colour]])</f>
        <v>Mountain Bikes-black</v>
      </c>
    </row>
    <row r="474" spans="1:19" x14ac:dyDescent="0.3">
      <c r="A474" s="1">
        <v>44535</v>
      </c>
      <c r="B474">
        <v>5</v>
      </c>
      <c r="C474" t="s">
        <v>106</v>
      </c>
      <c r="D474">
        <v>2021</v>
      </c>
      <c r="E474">
        <v>41</v>
      </c>
      <c r="F474" t="s">
        <v>14</v>
      </c>
      <c r="G474" t="s">
        <v>122</v>
      </c>
      <c r="H474" t="s">
        <v>15</v>
      </c>
      <c r="I474" t="s">
        <v>47</v>
      </c>
      <c r="J474" t="s">
        <v>17</v>
      </c>
      <c r="K474" t="s">
        <v>54</v>
      </c>
      <c r="L474">
        <v>1</v>
      </c>
      <c r="M474" s="6">
        <v>713</v>
      </c>
      <c r="N474" s="6">
        <v>1120</v>
      </c>
      <c r="O474" s="6">
        <f>Table1[[#This Row],[Unit_Price]]*Table1[[#This Row],[Order_Quantity]]</f>
        <v>1120</v>
      </c>
      <c r="P474" s="6">
        <f>Table1[[#This Row],[Unit_Cost]]*Table1[[#This Row],[Order_Quantity]]</f>
        <v>713</v>
      </c>
      <c r="Q474" s="4">
        <f>Table1[[#This Row],[total sales]]-Table1[[#This Row],[total cost]]</f>
        <v>407</v>
      </c>
      <c r="R474" s="6" t="s">
        <v>137</v>
      </c>
      <c r="S474" s="6" t="str">
        <f>_xlfn.CONCAT(Table1[[#This Row],[Sub_Category]],"-",Table1[[#This Row],[bike colour]])</f>
        <v>Road Bikes-red</v>
      </c>
    </row>
    <row r="475" spans="1:19" x14ac:dyDescent="0.3">
      <c r="A475" s="1">
        <v>44535</v>
      </c>
      <c r="B475">
        <v>5</v>
      </c>
      <c r="C475" t="s">
        <v>106</v>
      </c>
      <c r="D475">
        <v>2021</v>
      </c>
      <c r="E475">
        <v>57</v>
      </c>
      <c r="F475" t="s">
        <v>14</v>
      </c>
      <c r="G475" t="s">
        <v>122</v>
      </c>
      <c r="H475" t="s">
        <v>27</v>
      </c>
      <c r="I475" t="s">
        <v>33</v>
      </c>
      <c r="J475" t="s">
        <v>17</v>
      </c>
      <c r="K475" t="s">
        <v>38</v>
      </c>
      <c r="L475">
        <v>1</v>
      </c>
      <c r="M475" s="6">
        <v>713</v>
      </c>
      <c r="N475" s="6">
        <v>1120</v>
      </c>
      <c r="O475" s="6">
        <f>Table1[[#This Row],[Unit_Price]]*Table1[[#This Row],[Order_Quantity]]</f>
        <v>1120</v>
      </c>
      <c r="P475" s="6">
        <f>Table1[[#This Row],[Unit_Cost]]*Table1[[#This Row],[Order_Quantity]]</f>
        <v>713</v>
      </c>
      <c r="Q475" s="4">
        <f>Table1[[#This Row],[total sales]]-Table1[[#This Row],[total cost]]</f>
        <v>407</v>
      </c>
      <c r="R475" s="6" t="s">
        <v>137</v>
      </c>
      <c r="S475" s="6" t="str">
        <f>_xlfn.CONCAT(Table1[[#This Row],[Sub_Category]],"-",Table1[[#This Row],[bike colour]])</f>
        <v>Road Bikes-red</v>
      </c>
    </row>
    <row r="476" spans="1:19" x14ac:dyDescent="0.3">
      <c r="A476" s="1">
        <v>44536</v>
      </c>
      <c r="B476">
        <v>6</v>
      </c>
      <c r="C476" t="s">
        <v>106</v>
      </c>
      <c r="D476">
        <v>2021</v>
      </c>
      <c r="E476">
        <v>23</v>
      </c>
      <c r="F476" t="s">
        <v>49</v>
      </c>
      <c r="G476" t="s">
        <v>122</v>
      </c>
      <c r="H476" t="s">
        <v>23</v>
      </c>
      <c r="I476" t="s">
        <v>24</v>
      </c>
      <c r="J476" t="s">
        <v>25</v>
      </c>
      <c r="K476" t="s">
        <v>92</v>
      </c>
      <c r="L476">
        <v>3</v>
      </c>
      <c r="M476" s="6">
        <v>713</v>
      </c>
      <c r="N476" s="6">
        <v>1120</v>
      </c>
      <c r="O476" s="6">
        <f>Table1[[#This Row],[Unit_Price]]*Table1[[#This Row],[Order_Quantity]]</f>
        <v>3360</v>
      </c>
      <c r="P476" s="6">
        <f>Table1[[#This Row],[Unit_Cost]]*Table1[[#This Row],[Order_Quantity]]</f>
        <v>2139</v>
      </c>
      <c r="Q476" s="4">
        <f>Table1[[#This Row],[total sales]]-Table1[[#This Row],[total cost]]</f>
        <v>1221</v>
      </c>
      <c r="R476" s="6" t="s">
        <v>139</v>
      </c>
      <c r="S476" s="6" t="str">
        <f>_xlfn.CONCAT(Table1[[#This Row],[Sub_Category]],"-",Table1[[#This Row],[bike colour]])</f>
        <v>Mountain Bikes-silver</v>
      </c>
    </row>
    <row r="477" spans="1:19" x14ac:dyDescent="0.3">
      <c r="A477" s="1">
        <v>44536</v>
      </c>
      <c r="B477">
        <v>6</v>
      </c>
      <c r="C477" t="s">
        <v>106</v>
      </c>
      <c r="D477">
        <v>2021</v>
      </c>
      <c r="E477">
        <v>23</v>
      </c>
      <c r="F477" t="s">
        <v>49</v>
      </c>
      <c r="G477" t="s">
        <v>122</v>
      </c>
      <c r="H477" t="s">
        <v>50</v>
      </c>
      <c r="I477" t="s">
        <v>90</v>
      </c>
      <c r="J477" t="s">
        <v>17</v>
      </c>
      <c r="K477" t="s">
        <v>35</v>
      </c>
      <c r="L477">
        <v>2</v>
      </c>
      <c r="M477" s="6">
        <v>713</v>
      </c>
      <c r="N477" s="6">
        <v>1120</v>
      </c>
      <c r="O477" s="6">
        <f>Table1[[#This Row],[Unit_Price]]*Table1[[#This Row],[Order_Quantity]]</f>
        <v>2240</v>
      </c>
      <c r="P477" s="6">
        <f>Table1[[#This Row],[Unit_Cost]]*Table1[[#This Row],[Order_Quantity]]</f>
        <v>1426</v>
      </c>
      <c r="Q477" s="4">
        <f>Table1[[#This Row],[total sales]]-Table1[[#This Row],[total cost]]</f>
        <v>814</v>
      </c>
      <c r="R477" s="6" t="s">
        <v>137</v>
      </c>
      <c r="S477" s="6" t="str">
        <f>_xlfn.CONCAT(Table1[[#This Row],[Sub_Category]],"-",Table1[[#This Row],[bike colour]])</f>
        <v>Road Bikes-red</v>
      </c>
    </row>
    <row r="478" spans="1:19" x14ac:dyDescent="0.3">
      <c r="A478" s="1">
        <v>44536</v>
      </c>
      <c r="B478">
        <v>6</v>
      </c>
      <c r="C478" t="s">
        <v>106</v>
      </c>
      <c r="D478">
        <v>2021</v>
      </c>
      <c r="E478">
        <v>26</v>
      </c>
      <c r="F478" t="s">
        <v>19</v>
      </c>
      <c r="G478" t="s">
        <v>120</v>
      </c>
      <c r="H478" t="s">
        <v>50</v>
      </c>
      <c r="I478" t="s">
        <v>53</v>
      </c>
      <c r="J478" t="s">
        <v>17</v>
      </c>
      <c r="K478" t="s">
        <v>29</v>
      </c>
      <c r="L478">
        <v>1</v>
      </c>
      <c r="M478" s="6">
        <v>713</v>
      </c>
      <c r="N478" s="6">
        <v>1120</v>
      </c>
      <c r="O478" s="6">
        <f>Table1[[#This Row],[Unit_Price]]*Table1[[#This Row],[Order_Quantity]]</f>
        <v>1120</v>
      </c>
      <c r="P478" s="6">
        <f>Table1[[#This Row],[Unit_Cost]]*Table1[[#This Row],[Order_Quantity]]</f>
        <v>713</v>
      </c>
      <c r="Q478" s="4">
        <f>Table1[[#This Row],[total sales]]-Table1[[#This Row],[total cost]]</f>
        <v>407</v>
      </c>
      <c r="R478" s="6" t="s">
        <v>136</v>
      </c>
      <c r="S478" s="6" t="str">
        <f>_xlfn.CONCAT(Table1[[#This Row],[Sub_Category]],"-",Table1[[#This Row],[bike colour]])</f>
        <v>Road Bikes-yellow</v>
      </c>
    </row>
    <row r="479" spans="1:19" x14ac:dyDescent="0.3">
      <c r="A479" s="1">
        <v>44536</v>
      </c>
      <c r="B479">
        <v>6</v>
      </c>
      <c r="C479" t="s">
        <v>106</v>
      </c>
      <c r="D479">
        <v>2021</v>
      </c>
      <c r="E479">
        <v>27</v>
      </c>
      <c r="F479" t="s">
        <v>19</v>
      </c>
      <c r="G479" t="s">
        <v>122</v>
      </c>
      <c r="H479" t="s">
        <v>20</v>
      </c>
      <c r="I479" t="s">
        <v>21</v>
      </c>
      <c r="J479" t="s">
        <v>25</v>
      </c>
      <c r="K479" t="s">
        <v>61</v>
      </c>
      <c r="L479">
        <v>1</v>
      </c>
      <c r="M479" s="6">
        <v>713</v>
      </c>
      <c r="N479" s="6">
        <v>1120</v>
      </c>
      <c r="O479" s="6">
        <f>Table1[[#This Row],[Unit_Price]]*Table1[[#This Row],[Order_Quantity]]</f>
        <v>1120</v>
      </c>
      <c r="P479" s="6">
        <f>Table1[[#This Row],[Unit_Cost]]*Table1[[#This Row],[Order_Quantity]]</f>
        <v>713</v>
      </c>
      <c r="Q479" s="4">
        <f>Table1[[#This Row],[total sales]]-Table1[[#This Row],[total cost]]</f>
        <v>407</v>
      </c>
      <c r="R479" s="6" t="s">
        <v>138</v>
      </c>
      <c r="S479" s="6" t="str">
        <f>_xlfn.CONCAT(Table1[[#This Row],[Sub_Category]],"-",Table1[[#This Row],[bike colour]])</f>
        <v>Mountain Bikes-black</v>
      </c>
    </row>
    <row r="480" spans="1:19" x14ac:dyDescent="0.3">
      <c r="A480" s="1">
        <v>44536</v>
      </c>
      <c r="B480">
        <v>6</v>
      </c>
      <c r="C480" t="s">
        <v>106</v>
      </c>
      <c r="D480">
        <v>2021</v>
      </c>
      <c r="E480">
        <v>36</v>
      </c>
      <c r="F480" t="s">
        <v>14</v>
      </c>
      <c r="G480" t="s">
        <v>122</v>
      </c>
      <c r="H480" t="s">
        <v>27</v>
      </c>
      <c r="I480" t="s">
        <v>33</v>
      </c>
      <c r="J480" t="s">
        <v>25</v>
      </c>
      <c r="K480" t="s">
        <v>34</v>
      </c>
      <c r="L480">
        <v>1</v>
      </c>
      <c r="M480" s="6">
        <v>713</v>
      </c>
      <c r="N480" s="6">
        <v>1120</v>
      </c>
      <c r="O480" s="6">
        <f>Table1[[#This Row],[Unit_Price]]*Table1[[#This Row],[Order_Quantity]]</f>
        <v>1120</v>
      </c>
      <c r="P480" s="6">
        <f>Table1[[#This Row],[Unit_Cost]]*Table1[[#This Row],[Order_Quantity]]</f>
        <v>713</v>
      </c>
      <c r="Q480" s="4">
        <f>Table1[[#This Row],[total sales]]-Table1[[#This Row],[total cost]]</f>
        <v>407</v>
      </c>
      <c r="R480" s="6" t="s">
        <v>138</v>
      </c>
      <c r="S480" s="6" t="str">
        <f>_xlfn.CONCAT(Table1[[#This Row],[Sub_Category]],"-",Table1[[#This Row],[bike colour]])</f>
        <v>Mountain Bikes-black</v>
      </c>
    </row>
    <row r="481" spans="1:19" x14ac:dyDescent="0.3">
      <c r="A481" s="1">
        <v>44536</v>
      </c>
      <c r="B481">
        <v>6</v>
      </c>
      <c r="C481" t="s">
        <v>106</v>
      </c>
      <c r="D481">
        <v>2021</v>
      </c>
      <c r="E481">
        <v>47</v>
      </c>
      <c r="F481" t="s">
        <v>14</v>
      </c>
      <c r="G481" t="s">
        <v>122</v>
      </c>
      <c r="H481" t="s">
        <v>23</v>
      </c>
      <c r="I481" t="s">
        <v>24</v>
      </c>
      <c r="J481" t="s">
        <v>25</v>
      </c>
      <c r="K481" t="s">
        <v>31</v>
      </c>
      <c r="L481">
        <v>1</v>
      </c>
      <c r="M481" s="6">
        <v>713</v>
      </c>
      <c r="N481" s="6">
        <v>1120</v>
      </c>
      <c r="O481" s="6">
        <f>Table1[[#This Row],[Unit_Price]]*Table1[[#This Row],[Order_Quantity]]</f>
        <v>1120</v>
      </c>
      <c r="P481" s="6">
        <f>Table1[[#This Row],[Unit_Cost]]*Table1[[#This Row],[Order_Quantity]]</f>
        <v>713</v>
      </c>
      <c r="Q481" s="4">
        <f>Table1[[#This Row],[total sales]]-Table1[[#This Row],[total cost]]</f>
        <v>407</v>
      </c>
      <c r="R481" s="6" t="s">
        <v>139</v>
      </c>
      <c r="S481" s="6" t="str">
        <f>_xlfn.CONCAT(Table1[[#This Row],[Sub_Category]],"-",Table1[[#This Row],[bike colour]])</f>
        <v>Mountain Bikes-silver</v>
      </c>
    </row>
    <row r="482" spans="1:19" x14ac:dyDescent="0.3">
      <c r="A482" s="1">
        <v>44537</v>
      </c>
      <c r="B482">
        <v>7</v>
      </c>
      <c r="C482" t="s">
        <v>106</v>
      </c>
      <c r="D482">
        <v>2021</v>
      </c>
      <c r="E482">
        <v>26</v>
      </c>
      <c r="F482" t="s">
        <v>19</v>
      </c>
      <c r="G482" t="s">
        <v>122</v>
      </c>
      <c r="H482" t="s">
        <v>27</v>
      </c>
      <c r="I482" t="s">
        <v>28</v>
      </c>
      <c r="J482" t="s">
        <v>17</v>
      </c>
      <c r="K482" t="s">
        <v>81</v>
      </c>
      <c r="L482">
        <v>4</v>
      </c>
      <c r="M482" s="6">
        <v>713</v>
      </c>
      <c r="N482" s="6">
        <v>1120</v>
      </c>
      <c r="O482" s="6">
        <f>Table1[[#This Row],[Unit_Price]]*Table1[[#This Row],[Order_Quantity]]</f>
        <v>4480</v>
      </c>
      <c r="P482" s="6">
        <f>Table1[[#This Row],[Unit_Cost]]*Table1[[#This Row],[Order_Quantity]]</f>
        <v>2852</v>
      </c>
      <c r="Q482" s="4">
        <f>Table1[[#This Row],[total sales]]-Table1[[#This Row],[total cost]]</f>
        <v>1628</v>
      </c>
      <c r="R482" s="6" t="s">
        <v>136</v>
      </c>
      <c r="S482" s="6" t="str">
        <f>_xlfn.CONCAT(Table1[[#This Row],[Sub_Category]],"-",Table1[[#This Row],[bike colour]])</f>
        <v>Road Bikes-yellow</v>
      </c>
    </row>
    <row r="483" spans="1:19" x14ac:dyDescent="0.3">
      <c r="A483" s="1">
        <v>44537</v>
      </c>
      <c r="B483">
        <v>7</v>
      </c>
      <c r="C483" t="s">
        <v>106</v>
      </c>
      <c r="D483">
        <v>2021</v>
      </c>
      <c r="E483">
        <v>30</v>
      </c>
      <c r="F483" t="s">
        <v>19</v>
      </c>
      <c r="G483" t="s">
        <v>122</v>
      </c>
      <c r="H483" t="s">
        <v>15</v>
      </c>
      <c r="I483" t="s">
        <v>16</v>
      </c>
      <c r="J483" t="s">
        <v>25</v>
      </c>
      <c r="K483" t="s">
        <v>67</v>
      </c>
      <c r="L483">
        <v>4</v>
      </c>
      <c r="M483" s="6">
        <v>713</v>
      </c>
      <c r="N483" s="6">
        <v>1120</v>
      </c>
      <c r="O483" s="6">
        <f>Table1[[#This Row],[Unit_Price]]*Table1[[#This Row],[Order_Quantity]]</f>
        <v>4480</v>
      </c>
      <c r="P483" s="6">
        <f>Table1[[#This Row],[Unit_Cost]]*Table1[[#This Row],[Order_Quantity]]</f>
        <v>2852</v>
      </c>
      <c r="Q483" s="4">
        <f>Table1[[#This Row],[total sales]]-Table1[[#This Row],[total cost]]</f>
        <v>1628</v>
      </c>
      <c r="R483" s="6" t="s">
        <v>139</v>
      </c>
      <c r="S483" s="6" t="str">
        <f>_xlfn.CONCAT(Table1[[#This Row],[Sub_Category]],"-",Table1[[#This Row],[bike colour]])</f>
        <v>Mountain Bikes-silver</v>
      </c>
    </row>
    <row r="484" spans="1:19" x14ac:dyDescent="0.3">
      <c r="A484" s="1">
        <v>44537</v>
      </c>
      <c r="B484">
        <v>7</v>
      </c>
      <c r="C484" t="s">
        <v>106</v>
      </c>
      <c r="D484">
        <v>2021</v>
      </c>
      <c r="E484">
        <v>36</v>
      </c>
      <c r="F484" t="s">
        <v>14</v>
      </c>
      <c r="G484" t="s">
        <v>120</v>
      </c>
      <c r="H484" t="s">
        <v>42</v>
      </c>
      <c r="I484" t="s">
        <v>58</v>
      </c>
      <c r="J484" t="s">
        <v>17</v>
      </c>
      <c r="K484" t="s">
        <v>59</v>
      </c>
      <c r="L484">
        <v>4</v>
      </c>
      <c r="M484" s="6">
        <v>713</v>
      </c>
      <c r="N484" s="6">
        <v>1120</v>
      </c>
      <c r="O484" s="6">
        <f>Table1[[#This Row],[Unit_Price]]*Table1[[#This Row],[Order_Quantity]]</f>
        <v>4480</v>
      </c>
      <c r="P484" s="6">
        <f>Table1[[#This Row],[Unit_Cost]]*Table1[[#This Row],[Order_Quantity]]</f>
        <v>2852</v>
      </c>
      <c r="Q484" s="4">
        <f>Table1[[#This Row],[total sales]]-Table1[[#This Row],[total cost]]</f>
        <v>1628</v>
      </c>
      <c r="R484" s="6" t="s">
        <v>137</v>
      </c>
      <c r="S484" s="6" t="str">
        <f>_xlfn.CONCAT(Table1[[#This Row],[Sub_Category]],"-",Table1[[#This Row],[bike colour]])</f>
        <v>Road Bikes-red</v>
      </c>
    </row>
    <row r="485" spans="1:19" x14ac:dyDescent="0.3">
      <c r="A485" s="1">
        <v>44537</v>
      </c>
      <c r="B485">
        <v>7</v>
      </c>
      <c r="C485" t="s">
        <v>106</v>
      </c>
      <c r="D485">
        <v>2021</v>
      </c>
      <c r="E485">
        <v>37</v>
      </c>
      <c r="F485" t="s">
        <v>14</v>
      </c>
      <c r="G485" t="s">
        <v>120</v>
      </c>
      <c r="H485" t="s">
        <v>27</v>
      </c>
      <c r="I485" t="s">
        <v>30</v>
      </c>
      <c r="J485" t="s">
        <v>17</v>
      </c>
      <c r="K485" t="s">
        <v>29</v>
      </c>
      <c r="L485">
        <v>4</v>
      </c>
      <c r="M485" s="6">
        <v>713</v>
      </c>
      <c r="N485" s="6">
        <v>1120</v>
      </c>
      <c r="O485" s="6">
        <f>Table1[[#This Row],[Unit_Price]]*Table1[[#This Row],[Order_Quantity]]</f>
        <v>4480</v>
      </c>
      <c r="P485" s="6">
        <f>Table1[[#This Row],[Unit_Cost]]*Table1[[#This Row],[Order_Quantity]]</f>
        <v>2852</v>
      </c>
      <c r="Q485" s="4">
        <f>Table1[[#This Row],[total sales]]-Table1[[#This Row],[total cost]]</f>
        <v>1628</v>
      </c>
      <c r="R485" s="6" t="s">
        <v>136</v>
      </c>
      <c r="S485" s="6" t="str">
        <f>_xlfn.CONCAT(Table1[[#This Row],[Sub_Category]],"-",Table1[[#This Row],[bike colour]])</f>
        <v>Road Bikes-yellow</v>
      </c>
    </row>
    <row r="486" spans="1:19" x14ac:dyDescent="0.3">
      <c r="A486" s="1">
        <v>44537</v>
      </c>
      <c r="B486">
        <v>7</v>
      </c>
      <c r="C486" t="s">
        <v>106</v>
      </c>
      <c r="D486">
        <v>2021</v>
      </c>
      <c r="E486">
        <v>45</v>
      </c>
      <c r="F486" t="s">
        <v>14</v>
      </c>
      <c r="G486" t="s">
        <v>122</v>
      </c>
      <c r="H486" t="s">
        <v>42</v>
      </c>
      <c r="I486" t="s">
        <v>43</v>
      </c>
      <c r="J486" t="s">
        <v>17</v>
      </c>
      <c r="K486" t="s">
        <v>41</v>
      </c>
      <c r="L486">
        <v>4</v>
      </c>
      <c r="M486" s="6">
        <v>713</v>
      </c>
      <c r="N486" s="6">
        <v>1120</v>
      </c>
      <c r="O486" s="6">
        <f>Table1[[#This Row],[Unit_Price]]*Table1[[#This Row],[Order_Quantity]]</f>
        <v>4480</v>
      </c>
      <c r="P486" s="6">
        <f>Table1[[#This Row],[Unit_Cost]]*Table1[[#This Row],[Order_Quantity]]</f>
        <v>2852</v>
      </c>
      <c r="Q486" s="4">
        <f>Table1[[#This Row],[total sales]]-Table1[[#This Row],[total cost]]</f>
        <v>1628</v>
      </c>
      <c r="R486" s="6" t="s">
        <v>138</v>
      </c>
      <c r="S486" s="6" t="str">
        <f>_xlfn.CONCAT(Table1[[#This Row],[Sub_Category]],"-",Table1[[#This Row],[bike colour]])</f>
        <v>Road Bikes-black</v>
      </c>
    </row>
    <row r="487" spans="1:19" x14ac:dyDescent="0.3">
      <c r="A487" s="1">
        <v>44537</v>
      </c>
      <c r="B487">
        <v>7</v>
      </c>
      <c r="C487" t="s">
        <v>106</v>
      </c>
      <c r="D487">
        <v>2021</v>
      </c>
      <c r="E487">
        <v>25</v>
      </c>
      <c r="F487" t="s">
        <v>19</v>
      </c>
      <c r="G487" t="s">
        <v>122</v>
      </c>
      <c r="H487" t="s">
        <v>23</v>
      </c>
      <c r="I487" t="s">
        <v>24</v>
      </c>
      <c r="J487" t="s">
        <v>17</v>
      </c>
      <c r="K487" t="s">
        <v>46</v>
      </c>
      <c r="L487">
        <v>3</v>
      </c>
      <c r="M487" s="6">
        <v>713</v>
      </c>
      <c r="N487" s="6">
        <v>1120</v>
      </c>
      <c r="O487" s="6">
        <f>Table1[[#This Row],[Unit_Price]]*Table1[[#This Row],[Order_Quantity]]</f>
        <v>3360</v>
      </c>
      <c r="P487" s="6">
        <f>Table1[[#This Row],[Unit_Cost]]*Table1[[#This Row],[Order_Quantity]]</f>
        <v>2139</v>
      </c>
      <c r="Q487" s="4">
        <f>Table1[[#This Row],[total sales]]-Table1[[#This Row],[total cost]]</f>
        <v>1221</v>
      </c>
      <c r="R487" s="6" t="s">
        <v>137</v>
      </c>
      <c r="S487" s="6" t="str">
        <f>_xlfn.CONCAT(Table1[[#This Row],[Sub_Category]],"-",Table1[[#This Row],[bike colour]])</f>
        <v>Road Bikes-red</v>
      </c>
    </row>
    <row r="488" spans="1:19" x14ac:dyDescent="0.3">
      <c r="A488" s="1">
        <v>44537</v>
      </c>
      <c r="B488">
        <v>7</v>
      </c>
      <c r="C488" t="s">
        <v>106</v>
      </c>
      <c r="D488">
        <v>2021</v>
      </c>
      <c r="E488">
        <v>38</v>
      </c>
      <c r="F488" t="s">
        <v>14</v>
      </c>
      <c r="G488" t="s">
        <v>122</v>
      </c>
      <c r="H488" t="s">
        <v>15</v>
      </c>
      <c r="I488" t="s">
        <v>16</v>
      </c>
      <c r="J488" t="s">
        <v>25</v>
      </c>
      <c r="K488" t="s">
        <v>56</v>
      </c>
      <c r="L488">
        <v>2</v>
      </c>
      <c r="M488" s="6">
        <v>713</v>
      </c>
      <c r="N488" s="6">
        <v>1120</v>
      </c>
      <c r="O488" s="6">
        <f>Table1[[#This Row],[Unit_Price]]*Table1[[#This Row],[Order_Quantity]]</f>
        <v>2240</v>
      </c>
      <c r="P488" s="6">
        <f>Table1[[#This Row],[Unit_Cost]]*Table1[[#This Row],[Order_Quantity]]</f>
        <v>1426</v>
      </c>
      <c r="Q488" s="4">
        <f>Table1[[#This Row],[total sales]]-Table1[[#This Row],[total cost]]</f>
        <v>814</v>
      </c>
      <c r="R488" s="6" t="s">
        <v>139</v>
      </c>
      <c r="S488" s="6" t="str">
        <f>_xlfn.CONCAT(Table1[[#This Row],[Sub_Category]],"-",Table1[[#This Row],[bike colour]])</f>
        <v>Mountain Bikes-silver</v>
      </c>
    </row>
    <row r="489" spans="1:19" x14ac:dyDescent="0.3">
      <c r="A489" s="1">
        <v>44537</v>
      </c>
      <c r="B489">
        <v>7</v>
      </c>
      <c r="C489" t="s">
        <v>106</v>
      </c>
      <c r="D489">
        <v>2021</v>
      </c>
      <c r="E489">
        <v>43</v>
      </c>
      <c r="F489" t="s">
        <v>14</v>
      </c>
      <c r="G489" t="s">
        <v>120</v>
      </c>
      <c r="H489" t="s">
        <v>15</v>
      </c>
      <c r="I489" t="s">
        <v>16</v>
      </c>
      <c r="J489" t="s">
        <v>17</v>
      </c>
      <c r="K489" t="s">
        <v>79</v>
      </c>
      <c r="L489">
        <v>2</v>
      </c>
      <c r="M489" s="6">
        <v>713</v>
      </c>
      <c r="N489" s="6">
        <v>1120</v>
      </c>
      <c r="O489" s="6">
        <f>Table1[[#This Row],[Unit_Price]]*Table1[[#This Row],[Order_Quantity]]</f>
        <v>2240</v>
      </c>
      <c r="P489" s="6">
        <f>Table1[[#This Row],[Unit_Cost]]*Table1[[#This Row],[Order_Quantity]]</f>
        <v>1426</v>
      </c>
      <c r="Q489" s="4">
        <f>Table1[[#This Row],[total sales]]-Table1[[#This Row],[total cost]]</f>
        <v>814</v>
      </c>
      <c r="R489" s="6" t="s">
        <v>137</v>
      </c>
      <c r="S489" s="6" t="str">
        <f>_xlfn.CONCAT(Table1[[#This Row],[Sub_Category]],"-",Table1[[#This Row],[bike colour]])</f>
        <v>Road Bikes-red</v>
      </c>
    </row>
    <row r="490" spans="1:19" x14ac:dyDescent="0.3">
      <c r="A490" s="1">
        <v>44537</v>
      </c>
      <c r="B490">
        <v>7</v>
      </c>
      <c r="C490" t="s">
        <v>106</v>
      </c>
      <c r="D490">
        <v>2021</v>
      </c>
      <c r="E490">
        <v>19</v>
      </c>
      <c r="F490" t="s">
        <v>49</v>
      </c>
      <c r="G490" t="s">
        <v>122</v>
      </c>
      <c r="H490" t="s">
        <v>15</v>
      </c>
      <c r="I490" t="s">
        <v>16</v>
      </c>
      <c r="J490" t="s">
        <v>17</v>
      </c>
      <c r="K490" t="s">
        <v>81</v>
      </c>
      <c r="L490">
        <v>1</v>
      </c>
      <c r="M490" s="6">
        <v>713</v>
      </c>
      <c r="N490" s="6">
        <v>1120</v>
      </c>
      <c r="O490" s="6">
        <f>Table1[[#This Row],[Unit_Price]]*Table1[[#This Row],[Order_Quantity]]</f>
        <v>1120</v>
      </c>
      <c r="P490" s="6">
        <f>Table1[[#This Row],[Unit_Cost]]*Table1[[#This Row],[Order_Quantity]]</f>
        <v>713</v>
      </c>
      <c r="Q490" s="4">
        <f>Table1[[#This Row],[total sales]]-Table1[[#This Row],[total cost]]</f>
        <v>407</v>
      </c>
      <c r="R490" s="6" t="s">
        <v>136</v>
      </c>
      <c r="S490" s="6" t="str">
        <f>_xlfn.CONCAT(Table1[[#This Row],[Sub_Category]],"-",Table1[[#This Row],[bike colour]])</f>
        <v>Road Bikes-yellow</v>
      </c>
    </row>
    <row r="491" spans="1:19" x14ac:dyDescent="0.3">
      <c r="A491" s="1">
        <v>44537</v>
      </c>
      <c r="B491">
        <v>7</v>
      </c>
      <c r="C491" t="s">
        <v>106</v>
      </c>
      <c r="D491">
        <v>2021</v>
      </c>
      <c r="E491">
        <v>25</v>
      </c>
      <c r="F491" t="s">
        <v>19</v>
      </c>
      <c r="G491" t="s">
        <v>120</v>
      </c>
      <c r="H491" t="s">
        <v>23</v>
      </c>
      <c r="I491" t="s">
        <v>24</v>
      </c>
      <c r="J491" t="s">
        <v>17</v>
      </c>
      <c r="K491" t="s">
        <v>100</v>
      </c>
      <c r="L491">
        <v>1</v>
      </c>
      <c r="M491" s="6">
        <v>713</v>
      </c>
      <c r="N491" s="6">
        <v>1120</v>
      </c>
      <c r="O491" s="6">
        <f>Table1[[#This Row],[Unit_Price]]*Table1[[#This Row],[Order_Quantity]]</f>
        <v>1120</v>
      </c>
      <c r="P491" s="6">
        <f>Table1[[#This Row],[Unit_Cost]]*Table1[[#This Row],[Order_Quantity]]</f>
        <v>713</v>
      </c>
      <c r="Q491" s="4">
        <f>Table1[[#This Row],[total sales]]-Table1[[#This Row],[total cost]]</f>
        <v>407</v>
      </c>
      <c r="R491" s="6" t="s">
        <v>138</v>
      </c>
      <c r="S491" s="6" t="str">
        <f>_xlfn.CONCAT(Table1[[#This Row],[Sub_Category]],"-",Table1[[#This Row],[bike colour]])</f>
        <v>Road Bikes-black</v>
      </c>
    </row>
    <row r="492" spans="1:19" x14ac:dyDescent="0.3">
      <c r="A492" s="1">
        <v>44537</v>
      </c>
      <c r="B492">
        <v>7</v>
      </c>
      <c r="C492" t="s">
        <v>106</v>
      </c>
      <c r="D492">
        <v>2021</v>
      </c>
      <c r="E492">
        <v>29</v>
      </c>
      <c r="F492" t="s">
        <v>19</v>
      </c>
      <c r="G492" t="s">
        <v>122</v>
      </c>
      <c r="H492" t="s">
        <v>27</v>
      </c>
      <c r="I492" t="s">
        <v>28</v>
      </c>
      <c r="J492" t="s">
        <v>17</v>
      </c>
      <c r="K492" t="s">
        <v>57</v>
      </c>
      <c r="L492">
        <v>1</v>
      </c>
      <c r="M492" s="6">
        <v>713</v>
      </c>
      <c r="N492" s="6">
        <v>1120</v>
      </c>
      <c r="O492" s="6">
        <f>Table1[[#This Row],[Unit_Price]]*Table1[[#This Row],[Order_Quantity]]</f>
        <v>1120</v>
      </c>
      <c r="P492" s="6">
        <f>Table1[[#This Row],[Unit_Cost]]*Table1[[#This Row],[Order_Quantity]]</f>
        <v>713</v>
      </c>
      <c r="Q492" s="4">
        <f>Table1[[#This Row],[total sales]]-Table1[[#This Row],[total cost]]</f>
        <v>407</v>
      </c>
      <c r="R492" s="6" t="s">
        <v>138</v>
      </c>
      <c r="S492" s="6" t="str">
        <f>_xlfn.CONCAT(Table1[[#This Row],[Sub_Category]],"-",Table1[[#This Row],[bike colour]])</f>
        <v>Road Bikes-black</v>
      </c>
    </row>
    <row r="493" spans="1:19" x14ac:dyDescent="0.3">
      <c r="A493" s="1">
        <v>44537</v>
      </c>
      <c r="B493">
        <v>7</v>
      </c>
      <c r="C493" t="s">
        <v>106</v>
      </c>
      <c r="D493">
        <v>2021</v>
      </c>
      <c r="E493">
        <v>33</v>
      </c>
      <c r="F493" t="s">
        <v>19</v>
      </c>
      <c r="G493" t="s">
        <v>122</v>
      </c>
      <c r="H493" t="s">
        <v>50</v>
      </c>
      <c r="I493" t="s">
        <v>110</v>
      </c>
      <c r="J493" t="s">
        <v>17</v>
      </c>
      <c r="K493" t="s">
        <v>66</v>
      </c>
      <c r="L493">
        <v>1</v>
      </c>
      <c r="M493" s="6">
        <v>713</v>
      </c>
      <c r="N493" s="6">
        <v>1120</v>
      </c>
      <c r="O493" s="6">
        <f>Table1[[#This Row],[Unit_Price]]*Table1[[#This Row],[Order_Quantity]]</f>
        <v>1120</v>
      </c>
      <c r="P493" s="6">
        <f>Table1[[#This Row],[Unit_Cost]]*Table1[[#This Row],[Order_Quantity]]</f>
        <v>713</v>
      </c>
      <c r="Q493" s="4">
        <f>Table1[[#This Row],[total sales]]-Table1[[#This Row],[total cost]]</f>
        <v>407</v>
      </c>
      <c r="R493" s="6" t="s">
        <v>138</v>
      </c>
      <c r="S493" s="6" t="str">
        <f>_xlfn.CONCAT(Table1[[#This Row],[Sub_Category]],"-",Table1[[#This Row],[bike colour]])</f>
        <v>Road Bikes-black</v>
      </c>
    </row>
    <row r="494" spans="1:19" x14ac:dyDescent="0.3">
      <c r="A494" s="1">
        <v>44537</v>
      </c>
      <c r="B494">
        <v>7</v>
      </c>
      <c r="C494" t="s">
        <v>106</v>
      </c>
      <c r="D494">
        <v>2021</v>
      </c>
      <c r="E494">
        <v>36</v>
      </c>
      <c r="F494" t="s">
        <v>14</v>
      </c>
      <c r="G494" t="s">
        <v>120</v>
      </c>
      <c r="H494" t="s">
        <v>27</v>
      </c>
      <c r="I494" t="s">
        <v>33</v>
      </c>
      <c r="J494" t="s">
        <v>17</v>
      </c>
      <c r="K494" t="s">
        <v>29</v>
      </c>
      <c r="L494">
        <v>1</v>
      </c>
      <c r="M494" s="6">
        <v>713</v>
      </c>
      <c r="N494" s="6">
        <v>1120</v>
      </c>
      <c r="O494" s="6">
        <f>Table1[[#This Row],[Unit_Price]]*Table1[[#This Row],[Order_Quantity]]</f>
        <v>1120</v>
      </c>
      <c r="P494" s="6">
        <f>Table1[[#This Row],[Unit_Cost]]*Table1[[#This Row],[Order_Quantity]]</f>
        <v>713</v>
      </c>
      <c r="Q494" s="4">
        <f>Table1[[#This Row],[total sales]]-Table1[[#This Row],[total cost]]</f>
        <v>407</v>
      </c>
      <c r="R494" s="6" t="s">
        <v>136</v>
      </c>
      <c r="S494" s="6" t="str">
        <f>_xlfn.CONCAT(Table1[[#This Row],[Sub_Category]],"-",Table1[[#This Row],[bike colour]])</f>
        <v>Road Bikes-yellow</v>
      </c>
    </row>
    <row r="495" spans="1:19" x14ac:dyDescent="0.3">
      <c r="A495" s="1">
        <v>44537</v>
      </c>
      <c r="B495">
        <v>7</v>
      </c>
      <c r="C495" t="s">
        <v>106</v>
      </c>
      <c r="D495">
        <v>2021</v>
      </c>
      <c r="E495">
        <v>41</v>
      </c>
      <c r="F495" t="s">
        <v>14</v>
      </c>
      <c r="G495" t="s">
        <v>120</v>
      </c>
      <c r="H495" t="s">
        <v>15</v>
      </c>
      <c r="I495" t="s">
        <v>16</v>
      </c>
      <c r="J495" t="s">
        <v>17</v>
      </c>
      <c r="K495" t="s">
        <v>55</v>
      </c>
      <c r="L495">
        <v>1</v>
      </c>
      <c r="M495" s="6">
        <v>713</v>
      </c>
      <c r="N495" s="6">
        <v>1120</v>
      </c>
      <c r="O495" s="6">
        <f>Table1[[#This Row],[Unit_Price]]*Table1[[#This Row],[Order_Quantity]]</f>
        <v>1120</v>
      </c>
      <c r="P495" s="6">
        <f>Table1[[#This Row],[Unit_Cost]]*Table1[[#This Row],[Order_Quantity]]</f>
        <v>713</v>
      </c>
      <c r="Q495" s="4">
        <f>Table1[[#This Row],[total sales]]-Table1[[#This Row],[total cost]]</f>
        <v>407</v>
      </c>
      <c r="R495" s="6" t="s">
        <v>138</v>
      </c>
      <c r="S495" s="6" t="str">
        <f>_xlfn.CONCAT(Table1[[#This Row],[Sub_Category]],"-",Table1[[#This Row],[bike colour]])</f>
        <v>Road Bikes-black</v>
      </c>
    </row>
    <row r="496" spans="1:19" x14ac:dyDescent="0.3">
      <c r="A496" s="1">
        <v>44537</v>
      </c>
      <c r="B496">
        <v>7</v>
      </c>
      <c r="C496" t="s">
        <v>106</v>
      </c>
      <c r="D496">
        <v>2021</v>
      </c>
      <c r="E496">
        <v>43</v>
      </c>
      <c r="F496" t="s">
        <v>14</v>
      </c>
      <c r="G496" t="s">
        <v>122</v>
      </c>
      <c r="H496" t="s">
        <v>27</v>
      </c>
      <c r="I496" t="s">
        <v>28</v>
      </c>
      <c r="J496" t="s">
        <v>17</v>
      </c>
      <c r="K496" t="s">
        <v>38</v>
      </c>
      <c r="L496">
        <v>1</v>
      </c>
      <c r="M496" s="6">
        <v>713</v>
      </c>
      <c r="N496" s="6">
        <v>1120</v>
      </c>
      <c r="O496" s="6">
        <f>Table1[[#This Row],[Unit_Price]]*Table1[[#This Row],[Order_Quantity]]</f>
        <v>1120</v>
      </c>
      <c r="P496" s="6">
        <f>Table1[[#This Row],[Unit_Cost]]*Table1[[#This Row],[Order_Quantity]]</f>
        <v>713</v>
      </c>
      <c r="Q496" s="4">
        <f>Table1[[#This Row],[total sales]]-Table1[[#This Row],[total cost]]</f>
        <v>407</v>
      </c>
      <c r="R496" s="6" t="s">
        <v>137</v>
      </c>
      <c r="S496" s="6" t="str">
        <f>_xlfn.CONCAT(Table1[[#This Row],[Sub_Category]],"-",Table1[[#This Row],[bike colour]])</f>
        <v>Road Bikes-red</v>
      </c>
    </row>
    <row r="497" spans="1:19" x14ac:dyDescent="0.3">
      <c r="A497" s="1">
        <v>44537</v>
      </c>
      <c r="B497">
        <v>7</v>
      </c>
      <c r="C497" t="s">
        <v>106</v>
      </c>
      <c r="D497">
        <v>2021</v>
      </c>
      <c r="E497">
        <v>45</v>
      </c>
      <c r="F497" t="s">
        <v>14</v>
      </c>
      <c r="G497" t="s">
        <v>122</v>
      </c>
      <c r="H497" t="s">
        <v>15</v>
      </c>
      <c r="I497" t="s">
        <v>47</v>
      </c>
      <c r="J497" t="s">
        <v>17</v>
      </c>
      <c r="K497" t="s">
        <v>35</v>
      </c>
      <c r="L497">
        <v>1</v>
      </c>
      <c r="M497" s="6">
        <v>713</v>
      </c>
      <c r="N497" s="6">
        <v>1120</v>
      </c>
      <c r="O497" s="6">
        <f>Table1[[#This Row],[Unit_Price]]*Table1[[#This Row],[Order_Quantity]]</f>
        <v>1120</v>
      </c>
      <c r="P497" s="6">
        <f>Table1[[#This Row],[Unit_Cost]]*Table1[[#This Row],[Order_Quantity]]</f>
        <v>713</v>
      </c>
      <c r="Q497" s="4">
        <f>Table1[[#This Row],[total sales]]-Table1[[#This Row],[total cost]]</f>
        <v>407</v>
      </c>
      <c r="R497" s="6" t="s">
        <v>137</v>
      </c>
      <c r="S497" s="6" t="str">
        <f>_xlfn.CONCAT(Table1[[#This Row],[Sub_Category]],"-",Table1[[#This Row],[bike colour]])</f>
        <v>Road Bikes-red</v>
      </c>
    </row>
    <row r="498" spans="1:19" x14ac:dyDescent="0.3">
      <c r="A498" s="1">
        <v>44537</v>
      </c>
      <c r="B498">
        <v>7</v>
      </c>
      <c r="C498" t="s">
        <v>106</v>
      </c>
      <c r="D498">
        <v>2021</v>
      </c>
      <c r="E498">
        <v>49</v>
      </c>
      <c r="F498" t="s">
        <v>14</v>
      </c>
      <c r="G498" t="s">
        <v>122</v>
      </c>
      <c r="H498" t="s">
        <v>23</v>
      </c>
      <c r="I498" t="s">
        <v>24</v>
      </c>
      <c r="J498" t="s">
        <v>17</v>
      </c>
      <c r="K498" t="s">
        <v>85</v>
      </c>
      <c r="L498">
        <v>1</v>
      </c>
      <c r="M498" s="6">
        <v>713</v>
      </c>
      <c r="N498" s="6">
        <v>1120</v>
      </c>
      <c r="O498" s="6">
        <f>Table1[[#This Row],[Unit_Price]]*Table1[[#This Row],[Order_Quantity]]</f>
        <v>1120</v>
      </c>
      <c r="P498" s="6">
        <f>Table1[[#This Row],[Unit_Cost]]*Table1[[#This Row],[Order_Quantity]]</f>
        <v>713</v>
      </c>
      <c r="Q498" s="4">
        <f>Table1[[#This Row],[total sales]]-Table1[[#This Row],[total cost]]</f>
        <v>407</v>
      </c>
      <c r="R498" s="6" t="s">
        <v>137</v>
      </c>
      <c r="S498" s="6" t="str">
        <f>_xlfn.CONCAT(Table1[[#This Row],[Sub_Category]],"-",Table1[[#This Row],[bike colour]])</f>
        <v>Road Bikes-red</v>
      </c>
    </row>
    <row r="499" spans="1:19" x14ac:dyDescent="0.3">
      <c r="A499" s="1">
        <v>44538</v>
      </c>
      <c r="B499">
        <v>8</v>
      </c>
      <c r="C499" t="s">
        <v>106</v>
      </c>
      <c r="D499">
        <v>2021</v>
      </c>
      <c r="E499">
        <v>19</v>
      </c>
      <c r="F499" t="s">
        <v>49</v>
      </c>
      <c r="G499" t="s">
        <v>120</v>
      </c>
      <c r="H499" t="s">
        <v>27</v>
      </c>
      <c r="I499" t="s">
        <v>33</v>
      </c>
      <c r="J499" t="s">
        <v>25</v>
      </c>
      <c r="K499" t="s">
        <v>71</v>
      </c>
      <c r="L499">
        <v>4</v>
      </c>
      <c r="M499" s="6">
        <v>713</v>
      </c>
      <c r="N499" s="6">
        <v>1120</v>
      </c>
      <c r="O499" s="6">
        <f>Table1[[#This Row],[Unit_Price]]*Table1[[#This Row],[Order_Quantity]]</f>
        <v>4480</v>
      </c>
      <c r="P499" s="6">
        <f>Table1[[#This Row],[Unit_Cost]]*Table1[[#This Row],[Order_Quantity]]</f>
        <v>2852</v>
      </c>
      <c r="Q499" s="4">
        <f>Table1[[#This Row],[total sales]]-Table1[[#This Row],[total cost]]</f>
        <v>1628</v>
      </c>
      <c r="R499" s="6" t="s">
        <v>139</v>
      </c>
      <c r="S499" s="6" t="str">
        <f>_xlfn.CONCAT(Table1[[#This Row],[Sub_Category]],"-",Table1[[#This Row],[bike colour]])</f>
        <v>Mountain Bikes-silver</v>
      </c>
    </row>
    <row r="500" spans="1:19" x14ac:dyDescent="0.3">
      <c r="A500" s="1">
        <v>44538</v>
      </c>
      <c r="B500">
        <v>8</v>
      </c>
      <c r="C500" t="s">
        <v>106</v>
      </c>
      <c r="D500">
        <v>2021</v>
      </c>
      <c r="E500">
        <v>25</v>
      </c>
      <c r="F500" t="s">
        <v>19</v>
      </c>
      <c r="G500" t="s">
        <v>120</v>
      </c>
      <c r="H500" t="s">
        <v>27</v>
      </c>
      <c r="I500" t="s">
        <v>45</v>
      </c>
      <c r="J500" t="s">
        <v>17</v>
      </c>
      <c r="K500" t="s">
        <v>64</v>
      </c>
      <c r="L500">
        <v>4</v>
      </c>
      <c r="M500" s="6">
        <v>713</v>
      </c>
      <c r="N500" s="6">
        <v>1120</v>
      </c>
      <c r="O500" s="6">
        <f>Table1[[#This Row],[Unit_Price]]*Table1[[#This Row],[Order_Quantity]]</f>
        <v>4480</v>
      </c>
      <c r="P500" s="6">
        <f>Table1[[#This Row],[Unit_Cost]]*Table1[[#This Row],[Order_Quantity]]</f>
        <v>2852</v>
      </c>
      <c r="Q500" s="4">
        <f>Table1[[#This Row],[total sales]]-Table1[[#This Row],[total cost]]</f>
        <v>1628</v>
      </c>
      <c r="R500" s="6" t="s">
        <v>136</v>
      </c>
      <c r="S500" s="6" t="str">
        <f>_xlfn.CONCAT(Table1[[#This Row],[Sub_Category]],"-",Table1[[#This Row],[bike colour]])</f>
        <v>Road Bikes-yellow</v>
      </c>
    </row>
    <row r="501" spans="1:19" x14ac:dyDescent="0.3">
      <c r="A501" s="1">
        <v>44538</v>
      </c>
      <c r="B501">
        <v>8</v>
      </c>
      <c r="C501" t="s">
        <v>106</v>
      </c>
      <c r="D501">
        <v>2021</v>
      </c>
      <c r="E501">
        <v>27</v>
      </c>
      <c r="F501" t="s">
        <v>19</v>
      </c>
      <c r="G501" t="s">
        <v>122</v>
      </c>
      <c r="H501" t="s">
        <v>27</v>
      </c>
      <c r="I501" t="s">
        <v>30</v>
      </c>
      <c r="J501" t="s">
        <v>17</v>
      </c>
      <c r="K501" t="s">
        <v>65</v>
      </c>
      <c r="L501">
        <v>4</v>
      </c>
      <c r="M501" s="6">
        <v>713</v>
      </c>
      <c r="N501" s="6">
        <v>1120</v>
      </c>
      <c r="O501" s="6">
        <f>Table1[[#This Row],[Unit_Price]]*Table1[[#This Row],[Order_Quantity]]</f>
        <v>4480</v>
      </c>
      <c r="P501" s="6">
        <f>Table1[[#This Row],[Unit_Cost]]*Table1[[#This Row],[Order_Quantity]]</f>
        <v>2852</v>
      </c>
      <c r="Q501" s="4">
        <f>Table1[[#This Row],[total sales]]-Table1[[#This Row],[total cost]]</f>
        <v>1628</v>
      </c>
      <c r="R501" s="6" t="s">
        <v>136</v>
      </c>
      <c r="S501" s="6" t="str">
        <f>_xlfn.CONCAT(Table1[[#This Row],[Sub_Category]],"-",Table1[[#This Row],[bike colour]])</f>
        <v>Road Bikes-yellow</v>
      </c>
    </row>
    <row r="502" spans="1:19" x14ac:dyDescent="0.3">
      <c r="A502" s="1">
        <v>44538</v>
      </c>
      <c r="B502">
        <v>8</v>
      </c>
      <c r="C502" t="s">
        <v>106</v>
      </c>
      <c r="D502">
        <v>2021</v>
      </c>
      <c r="E502">
        <v>30</v>
      </c>
      <c r="F502" t="s">
        <v>19</v>
      </c>
      <c r="G502" t="s">
        <v>120</v>
      </c>
      <c r="H502" t="s">
        <v>20</v>
      </c>
      <c r="I502" t="s">
        <v>21</v>
      </c>
      <c r="J502" t="s">
        <v>25</v>
      </c>
      <c r="K502" t="s">
        <v>31</v>
      </c>
      <c r="L502">
        <v>4</v>
      </c>
      <c r="M502" s="6">
        <v>713</v>
      </c>
      <c r="N502" s="6">
        <v>1120</v>
      </c>
      <c r="O502" s="6">
        <f>Table1[[#This Row],[Unit_Price]]*Table1[[#This Row],[Order_Quantity]]</f>
        <v>4480</v>
      </c>
      <c r="P502" s="6">
        <f>Table1[[#This Row],[Unit_Cost]]*Table1[[#This Row],[Order_Quantity]]</f>
        <v>2852</v>
      </c>
      <c r="Q502" s="4">
        <f>Table1[[#This Row],[total sales]]-Table1[[#This Row],[total cost]]</f>
        <v>1628</v>
      </c>
      <c r="R502" s="6" t="s">
        <v>139</v>
      </c>
      <c r="S502" s="6" t="str">
        <f>_xlfn.CONCAT(Table1[[#This Row],[Sub_Category]],"-",Table1[[#This Row],[bike colour]])</f>
        <v>Mountain Bikes-silver</v>
      </c>
    </row>
    <row r="503" spans="1:19" x14ac:dyDescent="0.3">
      <c r="A503" s="1">
        <v>44538</v>
      </c>
      <c r="B503">
        <v>8</v>
      </c>
      <c r="C503" t="s">
        <v>106</v>
      </c>
      <c r="D503">
        <v>2021</v>
      </c>
      <c r="E503">
        <v>36</v>
      </c>
      <c r="F503" t="s">
        <v>14</v>
      </c>
      <c r="G503" t="s">
        <v>120</v>
      </c>
      <c r="H503" t="s">
        <v>27</v>
      </c>
      <c r="I503" t="s">
        <v>33</v>
      </c>
      <c r="J503" t="s">
        <v>17</v>
      </c>
      <c r="K503" t="s">
        <v>29</v>
      </c>
      <c r="L503">
        <v>4</v>
      </c>
      <c r="M503" s="6">
        <v>713</v>
      </c>
      <c r="N503" s="6">
        <v>1120</v>
      </c>
      <c r="O503" s="6">
        <f>Table1[[#This Row],[Unit_Price]]*Table1[[#This Row],[Order_Quantity]]</f>
        <v>4480</v>
      </c>
      <c r="P503" s="6">
        <f>Table1[[#This Row],[Unit_Cost]]*Table1[[#This Row],[Order_Quantity]]</f>
        <v>2852</v>
      </c>
      <c r="Q503" s="4">
        <f>Table1[[#This Row],[total sales]]-Table1[[#This Row],[total cost]]</f>
        <v>1628</v>
      </c>
      <c r="R503" s="6" t="s">
        <v>136</v>
      </c>
      <c r="S503" s="6" t="str">
        <f>_xlfn.CONCAT(Table1[[#This Row],[Sub_Category]],"-",Table1[[#This Row],[bike colour]])</f>
        <v>Road Bikes-yellow</v>
      </c>
    </row>
    <row r="504" spans="1:19" x14ac:dyDescent="0.3">
      <c r="A504" s="1">
        <v>44538</v>
      </c>
      <c r="B504">
        <v>8</v>
      </c>
      <c r="C504" t="s">
        <v>106</v>
      </c>
      <c r="D504">
        <v>2021</v>
      </c>
      <c r="E504">
        <v>40</v>
      </c>
      <c r="F504" t="s">
        <v>14</v>
      </c>
      <c r="G504" t="s">
        <v>122</v>
      </c>
      <c r="H504" t="s">
        <v>27</v>
      </c>
      <c r="I504" t="s">
        <v>33</v>
      </c>
      <c r="J504" t="s">
        <v>17</v>
      </c>
      <c r="K504" t="s">
        <v>46</v>
      </c>
      <c r="L504">
        <v>4</v>
      </c>
      <c r="M504" s="6">
        <v>713</v>
      </c>
      <c r="N504" s="6">
        <v>1120</v>
      </c>
      <c r="O504" s="6">
        <f>Table1[[#This Row],[Unit_Price]]*Table1[[#This Row],[Order_Quantity]]</f>
        <v>4480</v>
      </c>
      <c r="P504" s="6">
        <f>Table1[[#This Row],[Unit_Cost]]*Table1[[#This Row],[Order_Quantity]]</f>
        <v>2852</v>
      </c>
      <c r="Q504" s="4">
        <f>Table1[[#This Row],[total sales]]-Table1[[#This Row],[total cost]]</f>
        <v>1628</v>
      </c>
      <c r="R504" s="6" t="s">
        <v>137</v>
      </c>
      <c r="S504" s="6" t="str">
        <f>_xlfn.CONCAT(Table1[[#This Row],[Sub_Category]],"-",Table1[[#This Row],[bike colour]])</f>
        <v>Road Bikes-red</v>
      </c>
    </row>
    <row r="505" spans="1:19" x14ac:dyDescent="0.3">
      <c r="A505" s="1">
        <v>44538</v>
      </c>
      <c r="B505">
        <v>8</v>
      </c>
      <c r="C505" t="s">
        <v>106</v>
      </c>
      <c r="D505">
        <v>2021</v>
      </c>
      <c r="E505">
        <v>39</v>
      </c>
      <c r="F505" t="s">
        <v>14</v>
      </c>
      <c r="G505" t="s">
        <v>120</v>
      </c>
      <c r="H505" t="s">
        <v>15</v>
      </c>
      <c r="I505" t="s">
        <v>82</v>
      </c>
      <c r="J505" t="s">
        <v>25</v>
      </c>
      <c r="K505" t="s">
        <v>34</v>
      </c>
      <c r="L505">
        <v>2</v>
      </c>
      <c r="M505" s="6">
        <v>713</v>
      </c>
      <c r="N505" s="6">
        <v>1120</v>
      </c>
      <c r="O505" s="6">
        <f>Table1[[#This Row],[Unit_Price]]*Table1[[#This Row],[Order_Quantity]]</f>
        <v>2240</v>
      </c>
      <c r="P505" s="6">
        <f>Table1[[#This Row],[Unit_Cost]]*Table1[[#This Row],[Order_Quantity]]</f>
        <v>1426</v>
      </c>
      <c r="Q505" s="4">
        <f>Table1[[#This Row],[total sales]]-Table1[[#This Row],[total cost]]</f>
        <v>814</v>
      </c>
      <c r="R505" s="6" t="s">
        <v>138</v>
      </c>
      <c r="S505" s="6" t="str">
        <f>_xlfn.CONCAT(Table1[[#This Row],[Sub_Category]],"-",Table1[[#This Row],[bike colour]])</f>
        <v>Mountain Bikes-black</v>
      </c>
    </row>
    <row r="506" spans="1:19" x14ac:dyDescent="0.3">
      <c r="A506" s="1">
        <v>44538</v>
      </c>
      <c r="B506">
        <v>8</v>
      </c>
      <c r="C506" t="s">
        <v>106</v>
      </c>
      <c r="D506">
        <v>2021</v>
      </c>
      <c r="E506">
        <v>30</v>
      </c>
      <c r="F506" t="s">
        <v>19</v>
      </c>
      <c r="G506" t="s">
        <v>120</v>
      </c>
      <c r="H506" t="s">
        <v>27</v>
      </c>
      <c r="I506" t="s">
        <v>28</v>
      </c>
      <c r="J506" t="s">
        <v>17</v>
      </c>
      <c r="K506" t="s">
        <v>64</v>
      </c>
      <c r="L506">
        <v>1</v>
      </c>
      <c r="M506" s="6">
        <v>713</v>
      </c>
      <c r="N506" s="6">
        <v>1120</v>
      </c>
      <c r="O506" s="6">
        <f>Table1[[#This Row],[Unit_Price]]*Table1[[#This Row],[Order_Quantity]]</f>
        <v>1120</v>
      </c>
      <c r="P506" s="6">
        <f>Table1[[#This Row],[Unit_Cost]]*Table1[[#This Row],[Order_Quantity]]</f>
        <v>713</v>
      </c>
      <c r="Q506" s="4">
        <f>Table1[[#This Row],[total sales]]-Table1[[#This Row],[total cost]]</f>
        <v>407</v>
      </c>
      <c r="R506" s="6" t="s">
        <v>136</v>
      </c>
      <c r="S506" s="6" t="str">
        <f>_xlfn.CONCAT(Table1[[#This Row],[Sub_Category]],"-",Table1[[#This Row],[bike colour]])</f>
        <v>Road Bikes-yellow</v>
      </c>
    </row>
    <row r="507" spans="1:19" x14ac:dyDescent="0.3">
      <c r="A507" s="1">
        <v>44538</v>
      </c>
      <c r="B507">
        <v>8</v>
      </c>
      <c r="C507" t="s">
        <v>106</v>
      </c>
      <c r="D507">
        <v>2021</v>
      </c>
      <c r="E507">
        <v>35</v>
      </c>
      <c r="F507" t="s">
        <v>14</v>
      </c>
      <c r="G507" t="s">
        <v>120</v>
      </c>
      <c r="H507" t="s">
        <v>15</v>
      </c>
      <c r="I507" t="s">
        <v>16</v>
      </c>
      <c r="J507" t="s">
        <v>25</v>
      </c>
      <c r="K507" t="s">
        <v>72</v>
      </c>
      <c r="L507">
        <v>1</v>
      </c>
      <c r="M507" s="6">
        <v>713</v>
      </c>
      <c r="N507" s="6">
        <v>1120</v>
      </c>
      <c r="O507" s="6">
        <f>Table1[[#This Row],[Unit_Price]]*Table1[[#This Row],[Order_Quantity]]</f>
        <v>1120</v>
      </c>
      <c r="P507" s="6">
        <f>Table1[[#This Row],[Unit_Cost]]*Table1[[#This Row],[Order_Quantity]]</f>
        <v>713</v>
      </c>
      <c r="Q507" s="4">
        <f>Table1[[#This Row],[total sales]]-Table1[[#This Row],[total cost]]</f>
        <v>407</v>
      </c>
      <c r="R507" s="6" t="s">
        <v>138</v>
      </c>
      <c r="S507" s="6" t="str">
        <f>_xlfn.CONCAT(Table1[[#This Row],[Sub_Category]],"-",Table1[[#This Row],[bike colour]])</f>
        <v>Mountain Bikes-black</v>
      </c>
    </row>
    <row r="508" spans="1:19" x14ac:dyDescent="0.3">
      <c r="A508" s="1">
        <v>44538</v>
      </c>
      <c r="B508">
        <v>8</v>
      </c>
      <c r="C508" t="s">
        <v>106</v>
      </c>
      <c r="D508">
        <v>2021</v>
      </c>
      <c r="E508">
        <v>45</v>
      </c>
      <c r="F508" t="s">
        <v>14</v>
      </c>
      <c r="G508" t="s">
        <v>122</v>
      </c>
      <c r="H508" t="s">
        <v>23</v>
      </c>
      <c r="I508" t="s">
        <v>24</v>
      </c>
      <c r="J508" t="s">
        <v>17</v>
      </c>
      <c r="K508" t="s">
        <v>100</v>
      </c>
      <c r="L508">
        <v>1</v>
      </c>
      <c r="M508" s="6">
        <v>713</v>
      </c>
      <c r="N508" s="6">
        <v>1120</v>
      </c>
      <c r="O508" s="6">
        <f>Table1[[#This Row],[Unit_Price]]*Table1[[#This Row],[Order_Quantity]]</f>
        <v>1120</v>
      </c>
      <c r="P508" s="6">
        <f>Table1[[#This Row],[Unit_Cost]]*Table1[[#This Row],[Order_Quantity]]</f>
        <v>713</v>
      </c>
      <c r="Q508" s="4">
        <f>Table1[[#This Row],[total sales]]-Table1[[#This Row],[total cost]]</f>
        <v>407</v>
      </c>
      <c r="R508" s="6" t="s">
        <v>138</v>
      </c>
      <c r="S508" s="6" t="str">
        <f>_xlfn.CONCAT(Table1[[#This Row],[Sub_Category]],"-",Table1[[#This Row],[bike colour]])</f>
        <v>Road Bikes-black</v>
      </c>
    </row>
    <row r="509" spans="1:19" x14ac:dyDescent="0.3">
      <c r="A509" s="1">
        <v>44538</v>
      </c>
      <c r="B509">
        <v>8</v>
      </c>
      <c r="C509" t="s">
        <v>106</v>
      </c>
      <c r="D509">
        <v>2021</v>
      </c>
      <c r="E509">
        <v>47</v>
      </c>
      <c r="F509" t="s">
        <v>14</v>
      </c>
      <c r="G509" t="s">
        <v>120</v>
      </c>
      <c r="H509" t="s">
        <v>20</v>
      </c>
      <c r="I509" t="s">
        <v>21</v>
      </c>
      <c r="J509" t="s">
        <v>17</v>
      </c>
      <c r="K509" t="s">
        <v>80</v>
      </c>
      <c r="L509">
        <v>1</v>
      </c>
      <c r="M509" s="6">
        <v>713</v>
      </c>
      <c r="N509" s="6">
        <v>1120</v>
      </c>
      <c r="O509" s="6">
        <f>Table1[[#This Row],[Unit_Price]]*Table1[[#This Row],[Order_Quantity]]</f>
        <v>1120</v>
      </c>
      <c r="P509" s="6">
        <f>Table1[[#This Row],[Unit_Cost]]*Table1[[#This Row],[Order_Quantity]]</f>
        <v>713</v>
      </c>
      <c r="Q509" s="4">
        <f>Table1[[#This Row],[total sales]]-Table1[[#This Row],[total cost]]</f>
        <v>407</v>
      </c>
      <c r="R509" s="6" t="s">
        <v>138</v>
      </c>
      <c r="S509" s="6" t="str">
        <f>_xlfn.CONCAT(Table1[[#This Row],[Sub_Category]],"-",Table1[[#This Row],[bike colour]])</f>
        <v>Road Bikes-black</v>
      </c>
    </row>
    <row r="510" spans="1:19" x14ac:dyDescent="0.3">
      <c r="A510" s="1">
        <v>44539</v>
      </c>
      <c r="B510">
        <v>9</v>
      </c>
      <c r="C510" t="s">
        <v>106</v>
      </c>
      <c r="D510">
        <v>2021</v>
      </c>
      <c r="E510">
        <v>33</v>
      </c>
      <c r="F510" t="s">
        <v>19</v>
      </c>
      <c r="G510" t="s">
        <v>120</v>
      </c>
      <c r="H510" t="s">
        <v>27</v>
      </c>
      <c r="I510" t="s">
        <v>45</v>
      </c>
      <c r="J510" t="s">
        <v>25</v>
      </c>
      <c r="K510" t="s">
        <v>111</v>
      </c>
      <c r="L510">
        <v>2</v>
      </c>
      <c r="M510" s="6">
        <v>713</v>
      </c>
      <c r="N510" s="6">
        <v>1120</v>
      </c>
      <c r="O510" s="6">
        <f>Table1[[#This Row],[Unit_Price]]*Table1[[#This Row],[Order_Quantity]]</f>
        <v>2240</v>
      </c>
      <c r="P510" s="6">
        <f>Table1[[#This Row],[Unit_Cost]]*Table1[[#This Row],[Order_Quantity]]</f>
        <v>1426</v>
      </c>
      <c r="Q510" s="4">
        <f>Table1[[#This Row],[total sales]]-Table1[[#This Row],[total cost]]</f>
        <v>814</v>
      </c>
      <c r="R510" s="6" t="s">
        <v>138</v>
      </c>
      <c r="S510" s="6" t="str">
        <f>_xlfn.CONCAT(Table1[[#This Row],[Sub_Category]],"-",Table1[[#This Row],[bike colour]])</f>
        <v>Mountain Bikes-black</v>
      </c>
    </row>
    <row r="511" spans="1:19" x14ac:dyDescent="0.3">
      <c r="A511" s="1">
        <v>44539</v>
      </c>
      <c r="B511">
        <v>9</v>
      </c>
      <c r="C511" t="s">
        <v>106</v>
      </c>
      <c r="D511">
        <v>2021</v>
      </c>
      <c r="E511">
        <v>34</v>
      </c>
      <c r="F511" t="s">
        <v>19</v>
      </c>
      <c r="G511" t="s">
        <v>122</v>
      </c>
      <c r="H511" t="s">
        <v>27</v>
      </c>
      <c r="I511" t="s">
        <v>28</v>
      </c>
      <c r="J511" t="s">
        <v>17</v>
      </c>
      <c r="K511" t="s">
        <v>52</v>
      </c>
      <c r="L511">
        <v>2</v>
      </c>
      <c r="M511" s="6">
        <v>713</v>
      </c>
      <c r="N511" s="6">
        <v>1120</v>
      </c>
      <c r="O511" s="6">
        <f>Table1[[#This Row],[Unit_Price]]*Table1[[#This Row],[Order_Quantity]]</f>
        <v>2240</v>
      </c>
      <c r="P511" s="6">
        <f>Table1[[#This Row],[Unit_Cost]]*Table1[[#This Row],[Order_Quantity]]</f>
        <v>1426</v>
      </c>
      <c r="Q511" s="4">
        <f>Table1[[#This Row],[total sales]]-Table1[[#This Row],[total cost]]</f>
        <v>814</v>
      </c>
      <c r="R511" s="6" t="s">
        <v>138</v>
      </c>
      <c r="S511" s="6" t="str">
        <f>_xlfn.CONCAT(Table1[[#This Row],[Sub_Category]],"-",Table1[[#This Row],[bike colour]])</f>
        <v>Road Bikes-black</v>
      </c>
    </row>
    <row r="512" spans="1:19" x14ac:dyDescent="0.3">
      <c r="A512" s="1">
        <v>44539</v>
      </c>
      <c r="B512">
        <v>9</v>
      </c>
      <c r="C512" t="s">
        <v>106</v>
      </c>
      <c r="D512">
        <v>2021</v>
      </c>
      <c r="E512">
        <v>75</v>
      </c>
      <c r="F512" t="s">
        <v>112</v>
      </c>
      <c r="G512" t="s">
        <v>122</v>
      </c>
      <c r="H512" t="s">
        <v>23</v>
      </c>
      <c r="I512" t="s">
        <v>24</v>
      </c>
      <c r="J512" t="s">
        <v>17</v>
      </c>
      <c r="K512" t="s">
        <v>66</v>
      </c>
      <c r="L512">
        <v>2</v>
      </c>
      <c r="M512" s="6">
        <v>713</v>
      </c>
      <c r="N512" s="6">
        <v>1120</v>
      </c>
      <c r="O512" s="6">
        <f>Table1[[#This Row],[Unit_Price]]*Table1[[#This Row],[Order_Quantity]]</f>
        <v>2240</v>
      </c>
      <c r="P512" s="6">
        <f>Table1[[#This Row],[Unit_Cost]]*Table1[[#This Row],[Order_Quantity]]</f>
        <v>1426</v>
      </c>
      <c r="Q512" s="4">
        <f>Table1[[#This Row],[total sales]]-Table1[[#This Row],[total cost]]</f>
        <v>814</v>
      </c>
      <c r="R512" s="6" t="s">
        <v>138</v>
      </c>
      <c r="S512" s="6" t="str">
        <f>_xlfn.CONCAT(Table1[[#This Row],[Sub_Category]],"-",Table1[[#This Row],[bike colour]])</f>
        <v>Road Bikes-black</v>
      </c>
    </row>
    <row r="513" spans="1:19" x14ac:dyDescent="0.3">
      <c r="A513" s="1">
        <v>44539</v>
      </c>
      <c r="B513">
        <v>9</v>
      </c>
      <c r="C513" t="s">
        <v>106</v>
      </c>
      <c r="D513">
        <v>2021</v>
      </c>
      <c r="E513">
        <v>26</v>
      </c>
      <c r="F513" t="s">
        <v>19</v>
      </c>
      <c r="G513" t="s">
        <v>120</v>
      </c>
      <c r="H513" t="s">
        <v>27</v>
      </c>
      <c r="I513" t="s">
        <v>33</v>
      </c>
      <c r="J513" t="s">
        <v>17</v>
      </c>
      <c r="K513" t="s">
        <v>46</v>
      </c>
      <c r="L513">
        <v>1</v>
      </c>
      <c r="M513" s="6">
        <v>713</v>
      </c>
      <c r="N513" s="6">
        <v>1120</v>
      </c>
      <c r="O513" s="6">
        <f>Table1[[#This Row],[Unit_Price]]*Table1[[#This Row],[Order_Quantity]]</f>
        <v>1120</v>
      </c>
      <c r="P513" s="6">
        <f>Table1[[#This Row],[Unit_Cost]]*Table1[[#This Row],[Order_Quantity]]</f>
        <v>713</v>
      </c>
      <c r="Q513" s="4">
        <f>Table1[[#This Row],[total sales]]-Table1[[#This Row],[total cost]]</f>
        <v>407</v>
      </c>
      <c r="R513" s="6" t="s">
        <v>137</v>
      </c>
      <c r="S513" s="6" t="str">
        <f>_xlfn.CONCAT(Table1[[#This Row],[Sub_Category]],"-",Table1[[#This Row],[bike colour]])</f>
        <v>Road Bikes-red</v>
      </c>
    </row>
    <row r="514" spans="1:19" x14ac:dyDescent="0.3">
      <c r="A514" s="1">
        <v>44539</v>
      </c>
      <c r="B514">
        <v>9</v>
      </c>
      <c r="C514" t="s">
        <v>106</v>
      </c>
      <c r="D514">
        <v>2021</v>
      </c>
      <c r="E514">
        <v>41</v>
      </c>
      <c r="F514" t="s">
        <v>14</v>
      </c>
      <c r="G514" t="s">
        <v>120</v>
      </c>
      <c r="H514" t="s">
        <v>42</v>
      </c>
      <c r="I514" t="s">
        <v>43</v>
      </c>
      <c r="J514" t="s">
        <v>25</v>
      </c>
      <c r="K514" t="s">
        <v>56</v>
      </c>
      <c r="L514">
        <v>1</v>
      </c>
      <c r="M514" s="6">
        <v>713</v>
      </c>
      <c r="N514" s="6">
        <v>1120</v>
      </c>
      <c r="O514" s="6">
        <f>Table1[[#This Row],[Unit_Price]]*Table1[[#This Row],[Order_Quantity]]</f>
        <v>1120</v>
      </c>
      <c r="P514" s="6">
        <f>Table1[[#This Row],[Unit_Cost]]*Table1[[#This Row],[Order_Quantity]]</f>
        <v>713</v>
      </c>
      <c r="Q514" s="4">
        <f>Table1[[#This Row],[total sales]]-Table1[[#This Row],[total cost]]</f>
        <v>407</v>
      </c>
      <c r="R514" s="6" t="s">
        <v>139</v>
      </c>
      <c r="S514" s="6" t="str">
        <f>_xlfn.CONCAT(Table1[[#This Row],[Sub_Category]],"-",Table1[[#This Row],[bike colour]])</f>
        <v>Mountain Bikes-silver</v>
      </c>
    </row>
    <row r="515" spans="1:19" x14ac:dyDescent="0.3">
      <c r="A515" s="1">
        <v>44539</v>
      </c>
      <c r="B515">
        <v>9</v>
      </c>
      <c r="C515" t="s">
        <v>106</v>
      </c>
      <c r="D515">
        <v>2021</v>
      </c>
      <c r="E515">
        <v>42</v>
      </c>
      <c r="F515" t="s">
        <v>14</v>
      </c>
      <c r="G515" t="s">
        <v>120</v>
      </c>
      <c r="H515" t="s">
        <v>27</v>
      </c>
      <c r="I515" t="s">
        <v>33</v>
      </c>
      <c r="J515" t="s">
        <v>17</v>
      </c>
      <c r="K515" t="s">
        <v>59</v>
      </c>
      <c r="L515">
        <v>1</v>
      </c>
      <c r="M515" s="6">
        <v>713</v>
      </c>
      <c r="N515" s="6">
        <v>1120</v>
      </c>
      <c r="O515" s="6">
        <f>Table1[[#This Row],[Unit_Price]]*Table1[[#This Row],[Order_Quantity]]</f>
        <v>1120</v>
      </c>
      <c r="P515" s="6">
        <f>Table1[[#This Row],[Unit_Cost]]*Table1[[#This Row],[Order_Quantity]]</f>
        <v>713</v>
      </c>
      <c r="Q515" s="4">
        <f>Table1[[#This Row],[total sales]]-Table1[[#This Row],[total cost]]</f>
        <v>407</v>
      </c>
      <c r="R515" s="6" t="s">
        <v>137</v>
      </c>
      <c r="S515" s="6" t="str">
        <f>_xlfn.CONCAT(Table1[[#This Row],[Sub_Category]],"-",Table1[[#This Row],[bike colour]])</f>
        <v>Road Bikes-red</v>
      </c>
    </row>
    <row r="516" spans="1:19" x14ac:dyDescent="0.3">
      <c r="A516" s="1">
        <v>44539</v>
      </c>
      <c r="B516">
        <v>9</v>
      </c>
      <c r="C516" t="s">
        <v>106</v>
      </c>
      <c r="D516">
        <v>2021</v>
      </c>
      <c r="E516">
        <v>42</v>
      </c>
      <c r="F516" t="s">
        <v>14</v>
      </c>
      <c r="G516" t="s">
        <v>120</v>
      </c>
      <c r="H516" t="s">
        <v>42</v>
      </c>
      <c r="I516" t="s">
        <v>86</v>
      </c>
      <c r="J516" t="s">
        <v>17</v>
      </c>
      <c r="K516" t="s">
        <v>32</v>
      </c>
      <c r="L516">
        <v>1</v>
      </c>
      <c r="M516" s="6">
        <v>713</v>
      </c>
      <c r="N516" s="6">
        <v>1120</v>
      </c>
      <c r="O516" s="6">
        <f>Table1[[#This Row],[Unit_Price]]*Table1[[#This Row],[Order_Quantity]]</f>
        <v>1120</v>
      </c>
      <c r="P516" s="6">
        <f>Table1[[#This Row],[Unit_Cost]]*Table1[[#This Row],[Order_Quantity]]</f>
        <v>713</v>
      </c>
      <c r="Q516" s="4">
        <f>Table1[[#This Row],[total sales]]-Table1[[#This Row],[total cost]]</f>
        <v>407</v>
      </c>
      <c r="R516" s="6" t="s">
        <v>137</v>
      </c>
      <c r="S516" s="6" t="str">
        <f>_xlfn.CONCAT(Table1[[#This Row],[Sub_Category]],"-",Table1[[#This Row],[bike colour]])</f>
        <v>Road Bikes-red</v>
      </c>
    </row>
    <row r="517" spans="1:19" x14ac:dyDescent="0.3">
      <c r="A517" s="1">
        <v>44540</v>
      </c>
      <c r="B517">
        <v>10</v>
      </c>
      <c r="C517" t="s">
        <v>106</v>
      </c>
      <c r="D517">
        <v>2021</v>
      </c>
      <c r="E517">
        <v>43</v>
      </c>
      <c r="F517" t="s">
        <v>14</v>
      </c>
      <c r="G517" t="s">
        <v>120</v>
      </c>
      <c r="H517" t="s">
        <v>27</v>
      </c>
      <c r="I517" t="s">
        <v>45</v>
      </c>
      <c r="J517" t="s">
        <v>17</v>
      </c>
      <c r="K517" t="s">
        <v>63</v>
      </c>
      <c r="L517">
        <v>4</v>
      </c>
      <c r="M517" s="6">
        <v>713</v>
      </c>
      <c r="N517" s="6">
        <v>1120</v>
      </c>
      <c r="O517" s="6">
        <f>Table1[[#This Row],[Unit_Price]]*Table1[[#This Row],[Order_Quantity]]</f>
        <v>4480</v>
      </c>
      <c r="P517" s="6">
        <f>Table1[[#This Row],[Unit_Cost]]*Table1[[#This Row],[Order_Quantity]]</f>
        <v>2852</v>
      </c>
      <c r="Q517" s="4">
        <f>Table1[[#This Row],[total sales]]-Table1[[#This Row],[total cost]]</f>
        <v>1628</v>
      </c>
      <c r="R517" s="6" t="s">
        <v>136</v>
      </c>
      <c r="S517" s="6" t="str">
        <f>_xlfn.CONCAT(Table1[[#This Row],[Sub_Category]],"-",Table1[[#This Row],[bike colour]])</f>
        <v>Road Bikes-yellow</v>
      </c>
    </row>
    <row r="518" spans="1:19" x14ac:dyDescent="0.3">
      <c r="A518" s="1">
        <v>44540</v>
      </c>
      <c r="B518">
        <v>10</v>
      </c>
      <c r="C518" t="s">
        <v>106</v>
      </c>
      <c r="D518">
        <v>2021</v>
      </c>
      <c r="E518">
        <v>34</v>
      </c>
      <c r="F518" t="s">
        <v>19</v>
      </c>
      <c r="G518" t="s">
        <v>122</v>
      </c>
      <c r="H518" t="s">
        <v>23</v>
      </c>
      <c r="I518" t="s">
        <v>24</v>
      </c>
      <c r="J518" t="s">
        <v>17</v>
      </c>
      <c r="K518" t="s">
        <v>91</v>
      </c>
      <c r="L518">
        <v>3</v>
      </c>
      <c r="M518" s="6">
        <v>713</v>
      </c>
      <c r="N518" s="6">
        <v>1120</v>
      </c>
      <c r="O518" s="6">
        <f>Table1[[#This Row],[Unit_Price]]*Table1[[#This Row],[Order_Quantity]]</f>
        <v>3360</v>
      </c>
      <c r="P518" s="6">
        <f>Table1[[#This Row],[Unit_Cost]]*Table1[[#This Row],[Order_Quantity]]</f>
        <v>2139</v>
      </c>
      <c r="Q518" s="4">
        <f>Table1[[#This Row],[total sales]]-Table1[[#This Row],[total cost]]</f>
        <v>1221</v>
      </c>
      <c r="R518" s="6" t="s">
        <v>136</v>
      </c>
      <c r="S518" s="6" t="str">
        <f>_xlfn.CONCAT(Table1[[#This Row],[Sub_Category]],"-",Table1[[#This Row],[bike colour]])</f>
        <v>Road Bikes-yellow</v>
      </c>
    </row>
    <row r="519" spans="1:19" x14ac:dyDescent="0.3">
      <c r="A519" s="1">
        <v>44540</v>
      </c>
      <c r="B519">
        <v>10</v>
      </c>
      <c r="C519" t="s">
        <v>106</v>
      </c>
      <c r="D519">
        <v>2021</v>
      </c>
      <c r="E519">
        <v>27</v>
      </c>
      <c r="F519" t="s">
        <v>19</v>
      </c>
      <c r="G519" t="s">
        <v>120</v>
      </c>
      <c r="H519" t="s">
        <v>27</v>
      </c>
      <c r="I519" t="s">
        <v>45</v>
      </c>
      <c r="J519" t="s">
        <v>17</v>
      </c>
      <c r="K519" t="s">
        <v>40</v>
      </c>
      <c r="L519">
        <v>2</v>
      </c>
      <c r="M519" s="6">
        <v>713</v>
      </c>
      <c r="N519" s="6">
        <v>1120</v>
      </c>
      <c r="O519" s="6">
        <f>Table1[[#This Row],[Unit_Price]]*Table1[[#This Row],[Order_Quantity]]</f>
        <v>2240</v>
      </c>
      <c r="P519" s="6">
        <f>Table1[[#This Row],[Unit_Cost]]*Table1[[#This Row],[Order_Quantity]]</f>
        <v>1426</v>
      </c>
      <c r="Q519" s="4">
        <f>Table1[[#This Row],[total sales]]-Table1[[#This Row],[total cost]]</f>
        <v>814</v>
      </c>
      <c r="R519" s="6" t="s">
        <v>138</v>
      </c>
      <c r="S519" s="6" t="str">
        <f>_xlfn.CONCAT(Table1[[#This Row],[Sub_Category]],"-",Table1[[#This Row],[bike colour]])</f>
        <v>Road Bikes-black</v>
      </c>
    </row>
    <row r="520" spans="1:19" x14ac:dyDescent="0.3">
      <c r="A520" s="1">
        <v>44540</v>
      </c>
      <c r="B520">
        <v>10</v>
      </c>
      <c r="C520" t="s">
        <v>106</v>
      </c>
      <c r="D520">
        <v>2021</v>
      </c>
      <c r="E520">
        <v>34</v>
      </c>
      <c r="F520" t="s">
        <v>19</v>
      </c>
      <c r="G520" t="s">
        <v>120</v>
      </c>
      <c r="H520" t="s">
        <v>15</v>
      </c>
      <c r="I520" t="s">
        <v>16</v>
      </c>
      <c r="J520" t="s">
        <v>25</v>
      </c>
      <c r="K520" t="s">
        <v>34</v>
      </c>
      <c r="L520">
        <v>2</v>
      </c>
      <c r="M520" s="6">
        <v>713</v>
      </c>
      <c r="N520" s="6">
        <v>1120</v>
      </c>
      <c r="O520" s="6">
        <f>Table1[[#This Row],[Unit_Price]]*Table1[[#This Row],[Order_Quantity]]</f>
        <v>2240</v>
      </c>
      <c r="P520" s="6">
        <f>Table1[[#This Row],[Unit_Cost]]*Table1[[#This Row],[Order_Quantity]]</f>
        <v>1426</v>
      </c>
      <c r="Q520" s="4">
        <f>Table1[[#This Row],[total sales]]-Table1[[#This Row],[total cost]]</f>
        <v>814</v>
      </c>
      <c r="R520" s="6" t="s">
        <v>138</v>
      </c>
      <c r="S520" s="6" t="str">
        <f>_xlfn.CONCAT(Table1[[#This Row],[Sub_Category]],"-",Table1[[#This Row],[bike colour]])</f>
        <v>Mountain Bikes-black</v>
      </c>
    </row>
    <row r="521" spans="1:19" x14ac:dyDescent="0.3">
      <c r="A521" s="1">
        <v>44540</v>
      </c>
      <c r="B521">
        <v>10</v>
      </c>
      <c r="C521" t="s">
        <v>106</v>
      </c>
      <c r="D521">
        <v>2021</v>
      </c>
      <c r="E521">
        <v>40</v>
      </c>
      <c r="F521" t="s">
        <v>14</v>
      </c>
      <c r="G521" t="s">
        <v>122</v>
      </c>
      <c r="H521" t="s">
        <v>27</v>
      </c>
      <c r="I521" t="s">
        <v>33</v>
      </c>
      <c r="J521" t="s">
        <v>25</v>
      </c>
      <c r="K521" t="s">
        <v>34</v>
      </c>
      <c r="L521">
        <v>2</v>
      </c>
      <c r="M521" s="6">
        <v>713</v>
      </c>
      <c r="N521" s="6">
        <v>1120</v>
      </c>
      <c r="O521" s="6">
        <f>Table1[[#This Row],[Unit_Price]]*Table1[[#This Row],[Order_Quantity]]</f>
        <v>2240</v>
      </c>
      <c r="P521" s="6">
        <f>Table1[[#This Row],[Unit_Cost]]*Table1[[#This Row],[Order_Quantity]]</f>
        <v>1426</v>
      </c>
      <c r="Q521" s="4">
        <f>Table1[[#This Row],[total sales]]-Table1[[#This Row],[total cost]]</f>
        <v>814</v>
      </c>
      <c r="R521" s="6" t="s">
        <v>138</v>
      </c>
      <c r="S521" s="6" t="str">
        <f>_xlfn.CONCAT(Table1[[#This Row],[Sub_Category]],"-",Table1[[#This Row],[bike colour]])</f>
        <v>Mountain Bikes-black</v>
      </c>
    </row>
    <row r="522" spans="1:19" x14ac:dyDescent="0.3">
      <c r="A522" s="1">
        <v>44540</v>
      </c>
      <c r="B522">
        <v>10</v>
      </c>
      <c r="C522" t="s">
        <v>106</v>
      </c>
      <c r="D522">
        <v>2021</v>
      </c>
      <c r="E522">
        <v>23</v>
      </c>
      <c r="F522" t="s">
        <v>49</v>
      </c>
      <c r="G522" t="s">
        <v>120</v>
      </c>
      <c r="H522" t="s">
        <v>15</v>
      </c>
      <c r="I522" t="s">
        <v>47</v>
      </c>
      <c r="J522" t="s">
        <v>17</v>
      </c>
      <c r="K522" t="s">
        <v>54</v>
      </c>
      <c r="L522">
        <v>1</v>
      </c>
      <c r="M522" s="6">
        <v>713</v>
      </c>
      <c r="N522" s="6">
        <v>1120</v>
      </c>
      <c r="O522" s="6">
        <f>Table1[[#This Row],[Unit_Price]]*Table1[[#This Row],[Order_Quantity]]</f>
        <v>1120</v>
      </c>
      <c r="P522" s="6">
        <f>Table1[[#This Row],[Unit_Cost]]*Table1[[#This Row],[Order_Quantity]]</f>
        <v>713</v>
      </c>
      <c r="Q522" s="4">
        <f>Table1[[#This Row],[total sales]]-Table1[[#This Row],[total cost]]</f>
        <v>407</v>
      </c>
      <c r="R522" s="6" t="s">
        <v>137</v>
      </c>
      <c r="S522" s="6" t="str">
        <f>_xlfn.CONCAT(Table1[[#This Row],[Sub_Category]],"-",Table1[[#This Row],[bike colour]])</f>
        <v>Road Bikes-red</v>
      </c>
    </row>
    <row r="523" spans="1:19" x14ac:dyDescent="0.3">
      <c r="A523" s="1">
        <v>44540</v>
      </c>
      <c r="B523">
        <v>10</v>
      </c>
      <c r="C523" t="s">
        <v>106</v>
      </c>
      <c r="D523">
        <v>2021</v>
      </c>
      <c r="E523">
        <v>26</v>
      </c>
      <c r="F523" t="s">
        <v>19</v>
      </c>
      <c r="G523" t="s">
        <v>122</v>
      </c>
      <c r="H523" t="s">
        <v>23</v>
      </c>
      <c r="I523" t="s">
        <v>24</v>
      </c>
      <c r="J523" t="s">
        <v>25</v>
      </c>
      <c r="K523" t="s">
        <v>26</v>
      </c>
      <c r="L523">
        <v>1</v>
      </c>
      <c r="M523" s="6">
        <v>713</v>
      </c>
      <c r="N523" s="6">
        <v>1120</v>
      </c>
      <c r="O523" s="6">
        <f>Table1[[#This Row],[Unit_Price]]*Table1[[#This Row],[Order_Quantity]]</f>
        <v>1120</v>
      </c>
      <c r="P523" s="6">
        <f>Table1[[#This Row],[Unit_Cost]]*Table1[[#This Row],[Order_Quantity]]</f>
        <v>713</v>
      </c>
      <c r="Q523" s="4">
        <f>Table1[[#This Row],[total sales]]-Table1[[#This Row],[total cost]]</f>
        <v>407</v>
      </c>
      <c r="R523" s="6" t="s">
        <v>138</v>
      </c>
      <c r="S523" s="6" t="str">
        <f>_xlfn.CONCAT(Table1[[#This Row],[Sub_Category]],"-",Table1[[#This Row],[bike colour]])</f>
        <v>Mountain Bikes-black</v>
      </c>
    </row>
    <row r="524" spans="1:19" x14ac:dyDescent="0.3">
      <c r="A524" s="1">
        <v>44540</v>
      </c>
      <c r="B524">
        <v>10</v>
      </c>
      <c r="C524" t="s">
        <v>106</v>
      </c>
      <c r="D524">
        <v>2021</v>
      </c>
      <c r="E524">
        <v>34</v>
      </c>
      <c r="F524" t="s">
        <v>19</v>
      </c>
      <c r="G524" t="s">
        <v>122</v>
      </c>
      <c r="H524" t="s">
        <v>15</v>
      </c>
      <c r="I524" t="s">
        <v>16</v>
      </c>
      <c r="J524" t="s">
        <v>25</v>
      </c>
      <c r="K524" t="s">
        <v>113</v>
      </c>
      <c r="L524">
        <v>1</v>
      </c>
      <c r="M524" s="6">
        <v>713</v>
      </c>
      <c r="N524" s="6">
        <v>1120</v>
      </c>
      <c r="O524" s="6">
        <f>Table1[[#This Row],[Unit_Price]]*Table1[[#This Row],[Order_Quantity]]</f>
        <v>1120</v>
      </c>
      <c r="P524" s="6">
        <f>Table1[[#This Row],[Unit_Cost]]*Table1[[#This Row],[Order_Quantity]]</f>
        <v>713</v>
      </c>
      <c r="Q524" s="4">
        <f>Table1[[#This Row],[total sales]]-Table1[[#This Row],[total cost]]</f>
        <v>407</v>
      </c>
      <c r="R524" s="6" t="s">
        <v>138</v>
      </c>
      <c r="S524" s="6" t="str">
        <f>_xlfn.CONCAT(Table1[[#This Row],[Sub_Category]],"-",Table1[[#This Row],[bike colour]])</f>
        <v>Mountain Bikes-black</v>
      </c>
    </row>
    <row r="525" spans="1:19" x14ac:dyDescent="0.3">
      <c r="A525" s="1">
        <v>44540</v>
      </c>
      <c r="B525">
        <v>10</v>
      </c>
      <c r="C525" t="s">
        <v>106</v>
      </c>
      <c r="D525">
        <v>2021</v>
      </c>
      <c r="E525">
        <v>34</v>
      </c>
      <c r="F525" t="s">
        <v>19</v>
      </c>
      <c r="G525" t="s">
        <v>120</v>
      </c>
      <c r="H525" t="s">
        <v>15</v>
      </c>
      <c r="I525" t="s">
        <v>47</v>
      </c>
      <c r="J525" t="s">
        <v>25</v>
      </c>
      <c r="K525" t="s">
        <v>114</v>
      </c>
      <c r="L525">
        <v>1</v>
      </c>
      <c r="M525" s="6">
        <v>713</v>
      </c>
      <c r="N525" s="6">
        <v>1120</v>
      </c>
      <c r="O525" s="6">
        <f>Table1[[#This Row],[Unit_Price]]*Table1[[#This Row],[Order_Quantity]]</f>
        <v>1120</v>
      </c>
      <c r="P525" s="6">
        <f>Table1[[#This Row],[Unit_Cost]]*Table1[[#This Row],[Order_Quantity]]</f>
        <v>713</v>
      </c>
      <c r="Q525" s="4">
        <f>Table1[[#This Row],[total sales]]-Table1[[#This Row],[total cost]]</f>
        <v>407</v>
      </c>
      <c r="R525" s="6" t="s">
        <v>139</v>
      </c>
      <c r="S525" s="6" t="str">
        <f>_xlfn.CONCAT(Table1[[#This Row],[Sub_Category]],"-",Table1[[#This Row],[bike colour]])</f>
        <v>Mountain Bikes-silver</v>
      </c>
    </row>
    <row r="526" spans="1:19" x14ac:dyDescent="0.3">
      <c r="A526" s="1">
        <v>44540</v>
      </c>
      <c r="B526">
        <v>10</v>
      </c>
      <c r="C526" t="s">
        <v>106</v>
      </c>
      <c r="D526">
        <v>2021</v>
      </c>
      <c r="E526">
        <v>38</v>
      </c>
      <c r="F526" t="s">
        <v>14</v>
      </c>
      <c r="G526" t="s">
        <v>122</v>
      </c>
      <c r="H526" t="s">
        <v>27</v>
      </c>
      <c r="I526" t="s">
        <v>33</v>
      </c>
      <c r="J526" t="s">
        <v>25</v>
      </c>
      <c r="K526" t="s">
        <v>26</v>
      </c>
      <c r="L526">
        <v>1</v>
      </c>
      <c r="M526" s="6">
        <v>713</v>
      </c>
      <c r="N526" s="6">
        <v>1120</v>
      </c>
      <c r="O526" s="6">
        <f>Table1[[#This Row],[Unit_Price]]*Table1[[#This Row],[Order_Quantity]]</f>
        <v>1120</v>
      </c>
      <c r="P526" s="6">
        <f>Table1[[#This Row],[Unit_Cost]]*Table1[[#This Row],[Order_Quantity]]</f>
        <v>713</v>
      </c>
      <c r="Q526" s="4">
        <f>Table1[[#This Row],[total sales]]-Table1[[#This Row],[total cost]]</f>
        <v>407</v>
      </c>
      <c r="R526" s="6" t="s">
        <v>138</v>
      </c>
      <c r="S526" s="6" t="str">
        <f>_xlfn.CONCAT(Table1[[#This Row],[Sub_Category]],"-",Table1[[#This Row],[bike colour]])</f>
        <v>Mountain Bikes-black</v>
      </c>
    </row>
    <row r="527" spans="1:19" x14ac:dyDescent="0.3">
      <c r="A527" s="1">
        <v>44541</v>
      </c>
      <c r="B527">
        <v>11</v>
      </c>
      <c r="C527" t="s">
        <v>106</v>
      </c>
      <c r="D527">
        <v>2021</v>
      </c>
      <c r="E527">
        <v>24</v>
      </c>
      <c r="F527" t="s">
        <v>49</v>
      </c>
      <c r="G527" t="s">
        <v>122</v>
      </c>
      <c r="H527" t="s">
        <v>50</v>
      </c>
      <c r="I527" t="s">
        <v>90</v>
      </c>
      <c r="J527" t="s">
        <v>17</v>
      </c>
      <c r="K527" t="s">
        <v>57</v>
      </c>
      <c r="L527">
        <v>4</v>
      </c>
      <c r="M527" s="6">
        <v>713</v>
      </c>
      <c r="N527" s="6">
        <v>1120</v>
      </c>
      <c r="O527" s="6">
        <f>Table1[[#This Row],[Unit_Price]]*Table1[[#This Row],[Order_Quantity]]</f>
        <v>4480</v>
      </c>
      <c r="P527" s="6">
        <f>Table1[[#This Row],[Unit_Cost]]*Table1[[#This Row],[Order_Quantity]]</f>
        <v>2852</v>
      </c>
      <c r="Q527" s="4">
        <f>Table1[[#This Row],[total sales]]-Table1[[#This Row],[total cost]]</f>
        <v>1628</v>
      </c>
      <c r="R527" s="6" t="s">
        <v>138</v>
      </c>
      <c r="S527" s="6" t="str">
        <f>_xlfn.CONCAT(Table1[[#This Row],[Sub_Category]],"-",Table1[[#This Row],[bike colour]])</f>
        <v>Road Bikes-black</v>
      </c>
    </row>
    <row r="528" spans="1:19" x14ac:dyDescent="0.3">
      <c r="A528" s="1">
        <v>44541</v>
      </c>
      <c r="B528">
        <v>11</v>
      </c>
      <c r="C528" t="s">
        <v>106</v>
      </c>
      <c r="D528">
        <v>2021</v>
      </c>
      <c r="E528">
        <v>56</v>
      </c>
      <c r="F528" t="s">
        <v>14</v>
      </c>
      <c r="G528" t="s">
        <v>122</v>
      </c>
      <c r="H528" t="s">
        <v>15</v>
      </c>
      <c r="I528" t="s">
        <v>16</v>
      </c>
      <c r="J528" t="s">
        <v>17</v>
      </c>
      <c r="K528" t="s">
        <v>46</v>
      </c>
      <c r="L528">
        <v>4</v>
      </c>
      <c r="M528" s="6">
        <v>713</v>
      </c>
      <c r="N528" s="6">
        <v>1120</v>
      </c>
      <c r="O528" s="6">
        <f>Table1[[#This Row],[Unit_Price]]*Table1[[#This Row],[Order_Quantity]]</f>
        <v>4480</v>
      </c>
      <c r="P528" s="6">
        <f>Table1[[#This Row],[Unit_Cost]]*Table1[[#This Row],[Order_Quantity]]</f>
        <v>2852</v>
      </c>
      <c r="Q528" s="4">
        <f>Table1[[#This Row],[total sales]]-Table1[[#This Row],[total cost]]</f>
        <v>1628</v>
      </c>
      <c r="R528" s="6" t="s">
        <v>137</v>
      </c>
      <c r="S528" s="6" t="str">
        <f>_xlfn.CONCAT(Table1[[#This Row],[Sub_Category]],"-",Table1[[#This Row],[bike colour]])</f>
        <v>Road Bikes-red</v>
      </c>
    </row>
    <row r="529" spans="1:19" x14ac:dyDescent="0.3">
      <c r="A529" s="1">
        <v>44541</v>
      </c>
      <c r="B529">
        <v>11</v>
      </c>
      <c r="C529" t="s">
        <v>106</v>
      </c>
      <c r="D529">
        <v>2021</v>
      </c>
      <c r="E529">
        <v>24</v>
      </c>
      <c r="F529" t="s">
        <v>49</v>
      </c>
      <c r="G529" t="s">
        <v>120</v>
      </c>
      <c r="H529" t="s">
        <v>50</v>
      </c>
      <c r="I529" t="s">
        <v>94</v>
      </c>
      <c r="J529" t="s">
        <v>25</v>
      </c>
      <c r="K529" t="s">
        <v>26</v>
      </c>
      <c r="L529">
        <v>3</v>
      </c>
      <c r="M529" s="6">
        <v>713</v>
      </c>
      <c r="N529" s="6">
        <v>1120</v>
      </c>
      <c r="O529" s="6">
        <f>Table1[[#This Row],[Unit_Price]]*Table1[[#This Row],[Order_Quantity]]</f>
        <v>3360</v>
      </c>
      <c r="P529" s="6">
        <f>Table1[[#This Row],[Unit_Cost]]*Table1[[#This Row],[Order_Quantity]]</f>
        <v>2139</v>
      </c>
      <c r="Q529" s="4">
        <f>Table1[[#This Row],[total sales]]-Table1[[#This Row],[total cost]]</f>
        <v>1221</v>
      </c>
      <c r="R529" s="6" t="s">
        <v>138</v>
      </c>
      <c r="S529" s="6" t="str">
        <f>_xlfn.CONCAT(Table1[[#This Row],[Sub_Category]],"-",Table1[[#This Row],[bike colour]])</f>
        <v>Mountain Bikes-black</v>
      </c>
    </row>
    <row r="530" spans="1:19" x14ac:dyDescent="0.3">
      <c r="A530" s="1">
        <v>44541</v>
      </c>
      <c r="B530">
        <v>11</v>
      </c>
      <c r="C530" t="s">
        <v>106</v>
      </c>
      <c r="D530">
        <v>2021</v>
      </c>
      <c r="E530">
        <v>27</v>
      </c>
      <c r="F530" t="s">
        <v>19</v>
      </c>
      <c r="G530" t="s">
        <v>120</v>
      </c>
      <c r="H530" t="s">
        <v>50</v>
      </c>
      <c r="I530" t="s">
        <v>90</v>
      </c>
      <c r="J530" t="s">
        <v>17</v>
      </c>
      <c r="K530" t="s">
        <v>46</v>
      </c>
      <c r="L530">
        <v>3</v>
      </c>
      <c r="M530" s="6">
        <v>713</v>
      </c>
      <c r="N530" s="6">
        <v>1120</v>
      </c>
      <c r="O530" s="6">
        <f>Table1[[#This Row],[Unit_Price]]*Table1[[#This Row],[Order_Quantity]]</f>
        <v>3360</v>
      </c>
      <c r="P530" s="6">
        <f>Table1[[#This Row],[Unit_Cost]]*Table1[[#This Row],[Order_Quantity]]</f>
        <v>2139</v>
      </c>
      <c r="Q530" s="4">
        <f>Table1[[#This Row],[total sales]]-Table1[[#This Row],[total cost]]</f>
        <v>1221</v>
      </c>
      <c r="R530" s="6" t="s">
        <v>137</v>
      </c>
      <c r="S530" s="6" t="str">
        <f>_xlfn.CONCAT(Table1[[#This Row],[Sub_Category]],"-",Table1[[#This Row],[bike colour]])</f>
        <v>Road Bikes-red</v>
      </c>
    </row>
    <row r="531" spans="1:19" x14ac:dyDescent="0.3">
      <c r="A531" s="1">
        <v>44541</v>
      </c>
      <c r="B531">
        <v>11</v>
      </c>
      <c r="C531" t="s">
        <v>106</v>
      </c>
      <c r="D531">
        <v>2021</v>
      </c>
      <c r="E531">
        <v>41</v>
      </c>
      <c r="F531" t="s">
        <v>14</v>
      </c>
      <c r="G531" t="s">
        <v>122</v>
      </c>
      <c r="H531" t="s">
        <v>15</v>
      </c>
      <c r="I531" t="s">
        <v>16</v>
      </c>
      <c r="J531" t="s">
        <v>17</v>
      </c>
      <c r="K531" t="s">
        <v>41</v>
      </c>
      <c r="L531">
        <v>3</v>
      </c>
      <c r="M531" s="6">
        <v>713</v>
      </c>
      <c r="N531" s="6">
        <v>1120</v>
      </c>
      <c r="O531" s="6">
        <f>Table1[[#This Row],[Unit_Price]]*Table1[[#This Row],[Order_Quantity]]</f>
        <v>3360</v>
      </c>
      <c r="P531" s="6">
        <f>Table1[[#This Row],[Unit_Cost]]*Table1[[#This Row],[Order_Quantity]]</f>
        <v>2139</v>
      </c>
      <c r="Q531" s="4">
        <f>Table1[[#This Row],[total sales]]-Table1[[#This Row],[total cost]]</f>
        <v>1221</v>
      </c>
      <c r="R531" s="6" t="s">
        <v>138</v>
      </c>
      <c r="S531" s="6" t="str">
        <f>_xlfn.CONCAT(Table1[[#This Row],[Sub_Category]],"-",Table1[[#This Row],[bike colour]])</f>
        <v>Road Bikes-black</v>
      </c>
    </row>
    <row r="532" spans="1:19" x14ac:dyDescent="0.3">
      <c r="A532" s="1">
        <v>44541</v>
      </c>
      <c r="B532">
        <v>11</v>
      </c>
      <c r="C532" t="s">
        <v>106</v>
      </c>
      <c r="D532">
        <v>2021</v>
      </c>
      <c r="E532">
        <v>36</v>
      </c>
      <c r="F532" t="s">
        <v>14</v>
      </c>
      <c r="G532" t="s">
        <v>120</v>
      </c>
      <c r="H532" t="s">
        <v>27</v>
      </c>
      <c r="I532" t="s">
        <v>28</v>
      </c>
      <c r="J532" t="s">
        <v>17</v>
      </c>
      <c r="K532" t="s">
        <v>63</v>
      </c>
      <c r="L532">
        <v>2</v>
      </c>
      <c r="M532" s="6">
        <v>713</v>
      </c>
      <c r="N532" s="6">
        <v>1120</v>
      </c>
      <c r="O532" s="6">
        <f>Table1[[#This Row],[Unit_Price]]*Table1[[#This Row],[Order_Quantity]]</f>
        <v>2240</v>
      </c>
      <c r="P532" s="6">
        <f>Table1[[#This Row],[Unit_Cost]]*Table1[[#This Row],[Order_Quantity]]</f>
        <v>1426</v>
      </c>
      <c r="Q532" s="4">
        <f>Table1[[#This Row],[total sales]]-Table1[[#This Row],[total cost]]</f>
        <v>814</v>
      </c>
      <c r="R532" s="6" t="s">
        <v>136</v>
      </c>
      <c r="S532" s="6" t="str">
        <f>_xlfn.CONCAT(Table1[[#This Row],[Sub_Category]],"-",Table1[[#This Row],[bike colour]])</f>
        <v>Road Bikes-yellow</v>
      </c>
    </row>
    <row r="533" spans="1:19" x14ac:dyDescent="0.3">
      <c r="A533" s="1">
        <v>44541</v>
      </c>
      <c r="B533">
        <v>11</v>
      </c>
      <c r="C533" t="s">
        <v>106</v>
      </c>
      <c r="D533">
        <v>2021</v>
      </c>
      <c r="E533">
        <v>41</v>
      </c>
      <c r="F533" t="s">
        <v>14</v>
      </c>
      <c r="G533" t="s">
        <v>120</v>
      </c>
      <c r="H533" t="s">
        <v>27</v>
      </c>
      <c r="I533" t="s">
        <v>33</v>
      </c>
      <c r="J533" t="s">
        <v>25</v>
      </c>
      <c r="K533" t="s">
        <v>67</v>
      </c>
      <c r="L533">
        <v>2</v>
      </c>
      <c r="M533" s="6">
        <v>713</v>
      </c>
      <c r="N533" s="6">
        <v>1120</v>
      </c>
      <c r="O533" s="6">
        <f>Table1[[#This Row],[Unit_Price]]*Table1[[#This Row],[Order_Quantity]]</f>
        <v>2240</v>
      </c>
      <c r="P533" s="6">
        <f>Table1[[#This Row],[Unit_Cost]]*Table1[[#This Row],[Order_Quantity]]</f>
        <v>1426</v>
      </c>
      <c r="Q533" s="4">
        <f>Table1[[#This Row],[total sales]]-Table1[[#This Row],[total cost]]</f>
        <v>814</v>
      </c>
      <c r="R533" s="6" t="s">
        <v>139</v>
      </c>
      <c r="S533" s="6" t="str">
        <f>_xlfn.CONCAT(Table1[[#This Row],[Sub_Category]],"-",Table1[[#This Row],[bike colour]])</f>
        <v>Mountain Bikes-silver</v>
      </c>
    </row>
    <row r="534" spans="1:19" x14ac:dyDescent="0.3">
      <c r="A534" s="1">
        <v>44541</v>
      </c>
      <c r="B534">
        <v>11</v>
      </c>
      <c r="C534" t="s">
        <v>106</v>
      </c>
      <c r="D534">
        <v>2021</v>
      </c>
      <c r="E534">
        <v>18</v>
      </c>
      <c r="F534" t="s">
        <v>49</v>
      </c>
      <c r="G534" t="s">
        <v>120</v>
      </c>
      <c r="H534" t="s">
        <v>15</v>
      </c>
      <c r="I534" t="s">
        <v>16</v>
      </c>
      <c r="J534" t="s">
        <v>17</v>
      </c>
      <c r="K534" t="s">
        <v>108</v>
      </c>
      <c r="L534">
        <v>1</v>
      </c>
      <c r="M534" s="6">
        <v>713</v>
      </c>
      <c r="N534" s="6">
        <v>1120</v>
      </c>
      <c r="O534" s="6">
        <f>Table1[[#This Row],[Unit_Price]]*Table1[[#This Row],[Order_Quantity]]</f>
        <v>1120</v>
      </c>
      <c r="P534" s="6">
        <f>Table1[[#This Row],[Unit_Cost]]*Table1[[#This Row],[Order_Quantity]]</f>
        <v>713</v>
      </c>
      <c r="Q534" s="4">
        <f>Table1[[#This Row],[total sales]]-Table1[[#This Row],[total cost]]</f>
        <v>407</v>
      </c>
      <c r="R534" s="6" t="s">
        <v>138</v>
      </c>
      <c r="S534" s="6" t="str">
        <f>_xlfn.CONCAT(Table1[[#This Row],[Sub_Category]],"-",Table1[[#This Row],[bike colour]])</f>
        <v>Road Bikes-black</v>
      </c>
    </row>
    <row r="535" spans="1:19" x14ac:dyDescent="0.3">
      <c r="A535" s="1">
        <v>44541</v>
      </c>
      <c r="B535">
        <v>11</v>
      </c>
      <c r="C535" t="s">
        <v>106</v>
      </c>
      <c r="D535">
        <v>2021</v>
      </c>
      <c r="E535">
        <v>27</v>
      </c>
      <c r="F535" t="s">
        <v>19</v>
      </c>
      <c r="G535" t="s">
        <v>122</v>
      </c>
      <c r="H535" t="s">
        <v>20</v>
      </c>
      <c r="I535" t="s">
        <v>21</v>
      </c>
      <c r="J535" t="s">
        <v>25</v>
      </c>
      <c r="K535" t="s">
        <v>61</v>
      </c>
      <c r="L535">
        <v>1</v>
      </c>
      <c r="M535" s="6">
        <v>713</v>
      </c>
      <c r="N535" s="6">
        <v>1120</v>
      </c>
      <c r="O535" s="6">
        <f>Table1[[#This Row],[Unit_Price]]*Table1[[#This Row],[Order_Quantity]]</f>
        <v>1120</v>
      </c>
      <c r="P535" s="6">
        <f>Table1[[#This Row],[Unit_Cost]]*Table1[[#This Row],[Order_Quantity]]</f>
        <v>713</v>
      </c>
      <c r="Q535" s="4">
        <f>Table1[[#This Row],[total sales]]-Table1[[#This Row],[total cost]]</f>
        <v>407</v>
      </c>
      <c r="R535" s="6" t="s">
        <v>138</v>
      </c>
      <c r="S535" s="6" t="str">
        <f>_xlfn.CONCAT(Table1[[#This Row],[Sub_Category]],"-",Table1[[#This Row],[bike colour]])</f>
        <v>Mountain Bikes-black</v>
      </c>
    </row>
    <row r="536" spans="1:19" x14ac:dyDescent="0.3">
      <c r="A536" s="1">
        <v>44541</v>
      </c>
      <c r="B536">
        <v>11</v>
      </c>
      <c r="C536" t="s">
        <v>106</v>
      </c>
      <c r="D536">
        <v>2021</v>
      </c>
      <c r="E536">
        <v>27</v>
      </c>
      <c r="F536" t="s">
        <v>19</v>
      </c>
      <c r="G536" t="s">
        <v>120</v>
      </c>
      <c r="H536" t="s">
        <v>50</v>
      </c>
      <c r="I536" t="s">
        <v>53</v>
      </c>
      <c r="J536" t="s">
        <v>17</v>
      </c>
      <c r="K536" t="s">
        <v>57</v>
      </c>
      <c r="L536">
        <v>1</v>
      </c>
      <c r="M536" s="6">
        <v>713</v>
      </c>
      <c r="N536" s="6">
        <v>1120</v>
      </c>
      <c r="O536" s="6">
        <f>Table1[[#This Row],[Unit_Price]]*Table1[[#This Row],[Order_Quantity]]</f>
        <v>1120</v>
      </c>
      <c r="P536" s="6">
        <f>Table1[[#This Row],[Unit_Cost]]*Table1[[#This Row],[Order_Quantity]]</f>
        <v>713</v>
      </c>
      <c r="Q536" s="4">
        <f>Table1[[#This Row],[total sales]]-Table1[[#This Row],[total cost]]</f>
        <v>407</v>
      </c>
      <c r="R536" s="6" t="s">
        <v>138</v>
      </c>
      <c r="S536" s="6" t="str">
        <f>_xlfn.CONCAT(Table1[[#This Row],[Sub_Category]],"-",Table1[[#This Row],[bike colour]])</f>
        <v>Road Bikes-black</v>
      </c>
    </row>
    <row r="537" spans="1:19" x14ac:dyDescent="0.3">
      <c r="A537" s="1">
        <v>44541</v>
      </c>
      <c r="B537">
        <v>11</v>
      </c>
      <c r="C537" t="s">
        <v>106</v>
      </c>
      <c r="D537">
        <v>2021</v>
      </c>
      <c r="E537">
        <v>29</v>
      </c>
      <c r="F537" t="s">
        <v>19</v>
      </c>
      <c r="G537" t="s">
        <v>120</v>
      </c>
      <c r="H537" t="s">
        <v>23</v>
      </c>
      <c r="I537" t="s">
        <v>24</v>
      </c>
      <c r="J537" t="s">
        <v>17</v>
      </c>
      <c r="K537" t="s">
        <v>65</v>
      </c>
      <c r="L537">
        <v>1</v>
      </c>
      <c r="M537" s="6">
        <v>713</v>
      </c>
      <c r="N537" s="6">
        <v>1120</v>
      </c>
      <c r="O537" s="6">
        <f>Table1[[#This Row],[Unit_Price]]*Table1[[#This Row],[Order_Quantity]]</f>
        <v>1120</v>
      </c>
      <c r="P537" s="6">
        <f>Table1[[#This Row],[Unit_Cost]]*Table1[[#This Row],[Order_Quantity]]</f>
        <v>713</v>
      </c>
      <c r="Q537" s="4">
        <f>Table1[[#This Row],[total sales]]-Table1[[#This Row],[total cost]]</f>
        <v>407</v>
      </c>
      <c r="R537" s="6" t="s">
        <v>136</v>
      </c>
      <c r="S537" s="6" t="str">
        <f>_xlfn.CONCAT(Table1[[#This Row],[Sub_Category]],"-",Table1[[#This Row],[bike colour]])</f>
        <v>Road Bikes-yellow</v>
      </c>
    </row>
    <row r="538" spans="1:19" x14ac:dyDescent="0.3">
      <c r="A538" s="1">
        <v>44541</v>
      </c>
      <c r="B538">
        <v>11</v>
      </c>
      <c r="C538" t="s">
        <v>106</v>
      </c>
      <c r="D538">
        <v>2021</v>
      </c>
      <c r="E538">
        <v>37</v>
      </c>
      <c r="F538" t="s">
        <v>14</v>
      </c>
      <c r="G538" t="s">
        <v>122</v>
      </c>
      <c r="H538" t="s">
        <v>15</v>
      </c>
      <c r="I538" t="s">
        <v>16</v>
      </c>
      <c r="J538" t="s">
        <v>25</v>
      </c>
      <c r="K538" t="s">
        <v>92</v>
      </c>
      <c r="L538">
        <v>1</v>
      </c>
      <c r="M538" s="6">
        <v>713</v>
      </c>
      <c r="N538" s="6">
        <v>1120</v>
      </c>
      <c r="O538" s="6">
        <f>Table1[[#This Row],[Unit_Price]]*Table1[[#This Row],[Order_Quantity]]</f>
        <v>1120</v>
      </c>
      <c r="P538" s="6">
        <f>Table1[[#This Row],[Unit_Cost]]*Table1[[#This Row],[Order_Quantity]]</f>
        <v>713</v>
      </c>
      <c r="Q538" s="4">
        <f>Table1[[#This Row],[total sales]]-Table1[[#This Row],[total cost]]</f>
        <v>407</v>
      </c>
      <c r="R538" s="6" t="s">
        <v>139</v>
      </c>
      <c r="S538" s="6" t="str">
        <f>_xlfn.CONCAT(Table1[[#This Row],[Sub_Category]],"-",Table1[[#This Row],[bike colour]])</f>
        <v>Mountain Bikes-silver</v>
      </c>
    </row>
    <row r="539" spans="1:19" x14ac:dyDescent="0.3">
      <c r="A539" s="1">
        <v>44541</v>
      </c>
      <c r="B539">
        <v>11</v>
      </c>
      <c r="C539" t="s">
        <v>106</v>
      </c>
      <c r="D539">
        <v>2021</v>
      </c>
      <c r="E539">
        <v>38</v>
      </c>
      <c r="F539" t="s">
        <v>14</v>
      </c>
      <c r="G539" t="s">
        <v>120</v>
      </c>
      <c r="H539" t="s">
        <v>15</v>
      </c>
      <c r="I539" t="s">
        <v>16</v>
      </c>
      <c r="J539" t="s">
        <v>25</v>
      </c>
      <c r="K539" t="s">
        <v>31</v>
      </c>
      <c r="L539">
        <v>1</v>
      </c>
      <c r="M539" s="6">
        <v>713</v>
      </c>
      <c r="N539" s="6">
        <v>1120</v>
      </c>
      <c r="O539" s="6">
        <f>Table1[[#This Row],[Unit_Price]]*Table1[[#This Row],[Order_Quantity]]</f>
        <v>1120</v>
      </c>
      <c r="P539" s="6">
        <f>Table1[[#This Row],[Unit_Cost]]*Table1[[#This Row],[Order_Quantity]]</f>
        <v>713</v>
      </c>
      <c r="Q539" s="4">
        <f>Table1[[#This Row],[total sales]]-Table1[[#This Row],[total cost]]</f>
        <v>407</v>
      </c>
      <c r="R539" s="6" t="s">
        <v>139</v>
      </c>
      <c r="S539" s="6" t="str">
        <f>_xlfn.CONCAT(Table1[[#This Row],[Sub_Category]],"-",Table1[[#This Row],[bike colour]])</f>
        <v>Mountain Bikes-silver</v>
      </c>
    </row>
    <row r="540" spans="1:19" x14ac:dyDescent="0.3">
      <c r="A540" s="1">
        <v>44541</v>
      </c>
      <c r="B540">
        <v>11</v>
      </c>
      <c r="C540" t="s">
        <v>106</v>
      </c>
      <c r="D540">
        <v>2021</v>
      </c>
      <c r="E540">
        <v>54</v>
      </c>
      <c r="F540" t="s">
        <v>14</v>
      </c>
      <c r="G540" t="s">
        <v>122</v>
      </c>
      <c r="H540" t="s">
        <v>15</v>
      </c>
      <c r="I540" t="s">
        <v>47</v>
      </c>
      <c r="J540" t="s">
        <v>17</v>
      </c>
      <c r="K540" t="s">
        <v>18</v>
      </c>
      <c r="L540">
        <v>1</v>
      </c>
      <c r="M540" s="6">
        <v>713</v>
      </c>
      <c r="N540" s="6">
        <v>1120</v>
      </c>
      <c r="O540" s="6">
        <f>Table1[[#This Row],[Unit_Price]]*Table1[[#This Row],[Order_Quantity]]</f>
        <v>1120</v>
      </c>
      <c r="P540" s="6">
        <f>Table1[[#This Row],[Unit_Cost]]*Table1[[#This Row],[Order_Quantity]]</f>
        <v>713</v>
      </c>
      <c r="Q540" s="4">
        <f>Table1[[#This Row],[total sales]]-Table1[[#This Row],[total cost]]</f>
        <v>407</v>
      </c>
      <c r="R540" s="6" t="s">
        <v>136</v>
      </c>
      <c r="S540" s="6" t="str">
        <f>_xlfn.CONCAT(Table1[[#This Row],[Sub_Category]],"-",Table1[[#This Row],[bike colour]])</f>
        <v>Road Bikes-yellow</v>
      </c>
    </row>
    <row r="541" spans="1:19" x14ac:dyDescent="0.3">
      <c r="A541" s="1">
        <v>44542</v>
      </c>
      <c r="B541">
        <v>12</v>
      </c>
      <c r="C541" t="s">
        <v>106</v>
      </c>
      <c r="D541">
        <v>2021</v>
      </c>
      <c r="E541">
        <v>27</v>
      </c>
      <c r="F541" t="s">
        <v>19</v>
      </c>
      <c r="G541" t="s">
        <v>122</v>
      </c>
      <c r="H541" t="s">
        <v>27</v>
      </c>
      <c r="I541" t="s">
        <v>45</v>
      </c>
      <c r="J541" t="s">
        <v>17</v>
      </c>
      <c r="K541" t="s">
        <v>73</v>
      </c>
      <c r="L541">
        <v>4</v>
      </c>
      <c r="M541" s="6">
        <v>713</v>
      </c>
      <c r="N541" s="6">
        <v>1120</v>
      </c>
      <c r="O541" s="6">
        <f>Table1[[#This Row],[Unit_Price]]*Table1[[#This Row],[Order_Quantity]]</f>
        <v>4480</v>
      </c>
      <c r="P541" s="6">
        <f>Table1[[#This Row],[Unit_Cost]]*Table1[[#This Row],[Order_Quantity]]</f>
        <v>2852</v>
      </c>
      <c r="Q541" s="4">
        <f>Table1[[#This Row],[total sales]]-Table1[[#This Row],[total cost]]</f>
        <v>1628</v>
      </c>
      <c r="R541" s="6" t="s">
        <v>138</v>
      </c>
      <c r="S541" s="6" t="str">
        <f>_xlfn.CONCAT(Table1[[#This Row],[Sub_Category]],"-",Table1[[#This Row],[bike colour]])</f>
        <v>Road Bikes-black</v>
      </c>
    </row>
    <row r="542" spans="1:19" x14ac:dyDescent="0.3">
      <c r="A542" s="1">
        <v>44542</v>
      </c>
      <c r="B542">
        <v>12</v>
      </c>
      <c r="C542" t="s">
        <v>106</v>
      </c>
      <c r="D542">
        <v>2021</v>
      </c>
      <c r="E542">
        <v>36</v>
      </c>
      <c r="F542" t="s">
        <v>14</v>
      </c>
      <c r="G542" t="s">
        <v>120</v>
      </c>
      <c r="H542" t="s">
        <v>27</v>
      </c>
      <c r="I542" t="s">
        <v>33</v>
      </c>
      <c r="J542" t="s">
        <v>25</v>
      </c>
      <c r="K542" t="s">
        <v>56</v>
      </c>
      <c r="L542">
        <v>4</v>
      </c>
      <c r="M542" s="6">
        <v>713</v>
      </c>
      <c r="N542" s="6">
        <v>1120</v>
      </c>
      <c r="O542" s="6">
        <f>Table1[[#This Row],[Unit_Price]]*Table1[[#This Row],[Order_Quantity]]</f>
        <v>4480</v>
      </c>
      <c r="P542" s="6">
        <f>Table1[[#This Row],[Unit_Cost]]*Table1[[#This Row],[Order_Quantity]]</f>
        <v>2852</v>
      </c>
      <c r="Q542" s="4">
        <f>Table1[[#This Row],[total sales]]-Table1[[#This Row],[total cost]]</f>
        <v>1628</v>
      </c>
      <c r="R542" s="6" t="s">
        <v>139</v>
      </c>
      <c r="S542" s="6" t="str">
        <f>_xlfn.CONCAT(Table1[[#This Row],[Sub_Category]],"-",Table1[[#This Row],[bike colour]])</f>
        <v>Mountain Bikes-silver</v>
      </c>
    </row>
    <row r="543" spans="1:19" x14ac:dyDescent="0.3">
      <c r="A543" s="1">
        <v>44542</v>
      </c>
      <c r="B543">
        <v>12</v>
      </c>
      <c r="C543" t="s">
        <v>106</v>
      </c>
      <c r="D543">
        <v>2021</v>
      </c>
      <c r="E543">
        <v>37</v>
      </c>
      <c r="F543" t="s">
        <v>14</v>
      </c>
      <c r="G543" t="s">
        <v>122</v>
      </c>
      <c r="H543" t="s">
        <v>15</v>
      </c>
      <c r="I543" t="s">
        <v>16</v>
      </c>
      <c r="J543" t="s">
        <v>25</v>
      </c>
      <c r="K543" t="s">
        <v>92</v>
      </c>
      <c r="L543">
        <v>4</v>
      </c>
      <c r="M543" s="6">
        <v>713</v>
      </c>
      <c r="N543" s="6">
        <v>1120</v>
      </c>
      <c r="O543" s="6">
        <f>Table1[[#This Row],[Unit_Price]]*Table1[[#This Row],[Order_Quantity]]</f>
        <v>4480</v>
      </c>
      <c r="P543" s="6">
        <f>Table1[[#This Row],[Unit_Cost]]*Table1[[#This Row],[Order_Quantity]]</f>
        <v>2852</v>
      </c>
      <c r="Q543" s="4">
        <f>Table1[[#This Row],[total sales]]-Table1[[#This Row],[total cost]]</f>
        <v>1628</v>
      </c>
      <c r="R543" s="6" t="s">
        <v>139</v>
      </c>
      <c r="S543" s="6" t="str">
        <f>_xlfn.CONCAT(Table1[[#This Row],[Sub_Category]],"-",Table1[[#This Row],[bike colour]])</f>
        <v>Mountain Bikes-silver</v>
      </c>
    </row>
    <row r="544" spans="1:19" x14ac:dyDescent="0.3">
      <c r="A544" s="1">
        <v>44542</v>
      </c>
      <c r="B544">
        <v>12</v>
      </c>
      <c r="C544" t="s">
        <v>106</v>
      </c>
      <c r="D544">
        <v>2021</v>
      </c>
      <c r="E544">
        <v>47</v>
      </c>
      <c r="F544" t="s">
        <v>14</v>
      </c>
      <c r="G544" t="s">
        <v>122</v>
      </c>
      <c r="H544" t="s">
        <v>42</v>
      </c>
      <c r="I544" t="s">
        <v>58</v>
      </c>
      <c r="J544" t="s">
        <v>17</v>
      </c>
      <c r="K544" t="s">
        <v>103</v>
      </c>
      <c r="L544">
        <v>4</v>
      </c>
      <c r="M544" s="6">
        <v>713</v>
      </c>
      <c r="N544" s="6">
        <v>1120</v>
      </c>
      <c r="O544" s="6">
        <f>Table1[[#This Row],[Unit_Price]]*Table1[[#This Row],[Order_Quantity]]</f>
        <v>4480</v>
      </c>
      <c r="P544" s="6">
        <f>Table1[[#This Row],[Unit_Cost]]*Table1[[#This Row],[Order_Quantity]]</f>
        <v>2852</v>
      </c>
      <c r="Q544" s="4">
        <f>Table1[[#This Row],[total sales]]-Table1[[#This Row],[total cost]]</f>
        <v>1628</v>
      </c>
      <c r="R544" s="6" t="s">
        <v>138</v>
      </c>
      <c r="S544" s="6" t="str">
        <f>_xlfn.CONCAT(Table1[[#This Row],[Sub_Category]],"-",Table1[[#This Row],[bike colour]])</f>
        <v>Road Bikes-black</v>
      </c>
    </row>
    <row r="545" spans="1:19" x14ac:dyDescent="0.3">
      <c r="A545" s="1">
        <v>44542</v>
      </c>
      <c r="B545">
        <v>12</v>
      </c>
      <c r="C545" t="s">
        <v>106</v>
      </c>
      <c r="D545">
        <v>2021</v>
      </c>
      <c r="E545">
        <v>18</v>
      </c>
      <c r="F545" t="s">
        <v>49</v>
      </c>
      <c r="G545" t="s">
        <v>122</v>
      </c>
      <c r="H545" t="s">
        <v>42</v>
      </c>
      <c r="I545" t="s">
        <v>86</v>
      </c>
      <c r="J545" t="s">
        <v>17</v>
      </c>
      <c r="K545" t="s">
        <v>57</v>
      </c>
      <c r="L545">
        <v>3</v>
      </c>
      <c r="M545" s="6">
        <v>713</v>
      </c>
      <c r="N545" s="6">
        <v>1120</v>
      </c>
      <c r="O545" s="6">
        <f>Table1[[#This Row],[Unit_Price]]*Table1[[#This Row],[Order_Quantity]]</f>
        <v>3360</v>
      </c>
      <c r="P545" s="6">
        <f>Table1[[#This Row],[Unit_Cost]]*Table1[[#This Row],[Order_Quantity]]</f>
        <v>2139</v>
      </c>
      <c r="Q545" s="4">
        <f>Table1[[#This Row],[total sales]]-Table1[[#This Row],[total cost]]</f>
        <v>1221</v>
      </c>
      <c r="R545" s="6" t="s">
        <v>138</v>
      </c>
      <c r="S545" s="6" t="str">
        <f>_xlfn.CONCAT(Table1[[#This Row],[Sub_Category]],"-",Table1[[#This Row],[bike colour]])</f>
        <v>Road Bikes-black</v>
      </c>
    </row>
    <row r="546" spans="1:19" x14ac:dyDescent="0.3">
      <c r="A546" s="1">
        <v>44542</v>
      </c>
      <c r="B546">
        <v>12</v>
      </c>
      <c r="C546" t="s">
        <v>106</v>
      </c>
      <c r="D546">
        <v>2021</v>
      </c>
      <c r="E546">
        <v>28</v>
      </c>
      <c r="F546" t="s">
        <v>19</v>
      </c>
      <c r="G546" t="s">
        <v>122</v>
      </c>
      <c r="H546" t="s">
        <v>50</v>
      </c>
      <c r="I546" t="s">
        <v>53</v>
      </c>
      <c r="J546" t="s">
        <v>17</v>
      </c>
      <c r="K546" t="s">
        <v>79</v>
      </c>
      <c r="L546">
        <v>3</v>
      </c>
      <c r="M546" s="6">
        <v>713</v>
      </c>
      <c r="N546" s="6">
        <v>1120</v>
      </c>
      <c r="O546" s="6">
        <f>Table1[[#This Row],[Unit_Price]]*Table1[[#This Row],[Order_Quantity]]</f>
        <v>3360</v>
      </c>
      <c r="P546" s="6">
        <f>Table1[[#This Row],[Unit_Cost]]*Table1[[#This Row],[Order_Quantity]]</f>
        <v>2139</v>
      </c>
      <c r="Q546" s="4">
        <f>Table1[[#This Row],[total sales]]-Table1[[#This Row],[total cost]]</f>
        <v>1221</v>
      </c>
      <c r="R546" s="6" t="s">
        <v>137</v>
      </c>
      <c r="S546" s="6" t="str">
        <f>_xlfn.CONCAT(Table1[[#This Row],[Sub_Category]],"-",Table1[[#This Row],[bike colour]])</f>
        <v>Road Bikes-red</v>
      </c>
    </row>
    <row r="547" spans="1:19" x14ac:dyDescent="0.3">
      <c r="A547" s="1">
        <v>44542</v>
      </c>
      <c r="B547">
        <v>12</v>
      </c>
      <c r="C547" t="s">
        <v>106</v>
      </c>
      <c r="D547">
        <v>2021</v>
      </c>
      <c r="E547">
        <v>33</v>
      </c>
      <c r="F547" t="s">
        <v>19</v>
      </c>
      <c r="G547" t="s">
        <v>120</v>
      </c>
      <c r="H547" t="s">
        <v>23</v>
      </c>
      <c r="I547" t="s">
        <v>24</v>
      </c>
      <c r="J547" t="s">
        <v>17</v>
      </c>
      <c r="K547" t="s">
        <v>64</v>
      </c>
      <c r="L547">
        <v>3</v>
      </c>
      <c r="M547" s="6">
        <v>713</v>
      </c>
      <c r="N547" s="6">
        <v>1120</v>
      </c>
      <c r="O547" s="6">
        <f>Table1[[#This Row],[Unit_Price]]*Table1[[#This Row],[Order_Quantity]]</f>
        <v>3360</v>
      </c>
      <c r="P547" s="6">
        <f>Table1[[#This Row],[Unit_Cost]]*Table1[[#This Row],[Order_Quantity]]</f>
        <v>2139</v>
      </c>
      <c r="Q547" s="4">
        <f>Table1[[#This Row],[total sales]]-Table1[[#This Row],[total cost]]</f>
        <v>1221</v>
      </c>
      <c r="R547" s="6" t="s">
        <v>136</v>
      </c>
      <c r="S547" s="6" t="str">
        <f>_xlfn.CONCAT(Table1[[#This Row],[Sub_Category]],"-",Table1[[#This Row],[bike colour]])</f>
        <v>Road Bikes-yellow</v>
      </c>
    </row>
    <row r="548" spans="1:19" x14ac:dyDescent="0.3">
      <c r="A548" s="1">
        <v>44542</v>
      </c>
      <c r="B548">
        <v>12</v>
      </c>
      <c r="C548" t="s">
        <v>106</v>
      </c>
      <c r="D548">
        <v>2021</v>
      </c>
      <c r="E548">
        <v>43</v>
      </c>
      <c r="F548" t="s">
        <v>14</v>
      </c>
      <c r="G548" t="s">
        <v>122</v>
      </c>
      <c r="H548" t="s">
        <v>15</v>
      </c>
      <c r="I548" t="s">
        <v>16</v>
      </c>
      <c r="J548" t="s">
        <v>17</v>
      </c>
      <c r="K548" t="s">
        <v>54</v>
      </c>
      <c r="L548">
        <v>3</v>
      </c>
      <c r="M548" s="6">
        <v>713</v>
      </c>
      <c r="N548" s="6">
        <v>1120</v>
      </c>
      <c r="O548" s="6">
        <f>Table1[[#This Row],[Unit_Price]]*Table1[[#This Row],[Order_Quantity]]</f>
        <v>3360</v>
      </c>
      <c r="P548" s="6">
        <f>Table1[[#This Row],[Unit_Cost]]*Table1[[#This Row],[Order_Quantity]]</f>
        <v>2139</v>
      </c>
      <c r="Q548" s="4">
        <f>Table1[[#This Row],[total sales]]-Table1[[#This Row],[total cost]]</f>
        <v>1221</v>
      </c>
      <c r="R548" s="6" t="s">
        <v>137</v>
      </c>
      <c r="S548" s="6" t="str">
        <f>_xlfn.CONCAT(Table1[[#This Row],[Sub_Category]],"-",Table1[[#This Row],[bike colour]])</f>
        <v>Road Bikes-red</v>
      </c>
    </row>
    <row r="549" spans="1:19" x14ac:dyDescent="0.3">
      <c r="A549" s="1">
        <v>44542</v>
      </c>
      <c r="B549">
        <v>12</v>
      </c>
      <c r="C549" t="s">
        <v>106</v>
      </c>
      <c r="D549">
        <v>2021</v>
      </c>
      <c r="E549">
        <v>52</v>
      </c>
      <c r="F549" t="s">
        <v>14</v>
      </c>
      <c r="G549" t="s">
        <v>120</v>
      </c>
      <c r="H549" t="s">
        <v>23</v>
      </c>
      <c r="I549" t="s">
        <v>24</v>
      </c>
      <c r="J549" t="s">
        <v>17</v>
      </c>
      <c r="K549" t="s">
        <v>52</v>
      </c>
      <c r="L549">
        <v>3</v>
      </c>
      <c r="M549" s="6">
        <v>713</v>
      </c>
      <c r="N549" s="6">
        <v>1120</v>
      </c>
      <c r="O549" s="6">
        <f>Table1[[#This Row],[Unit_Price]]*Table1[[#This Row],[Order_Quantity]]</f>
        <v>3360</v>
      </c>
      <c r="P549" s="6">
        <f>Table1[[#This Row],[Unit_Cost]]*Table1[[#This Row],[Order_Quantity]]</f>
        <v>2139</v>
      </c>
      <c r="Q549" s="4">
        <f>Table1[[#This Row],[total sales]]-Table1[[#This Row],[total cost]]</f>
        <v>1221</v>
      </c>
      <c r="R549" s="6" t="s">
        <v>138</v>
      </c>
      <c r="S549" s="6" t="str">
        <f>_xlfn.CONCAT(Table1[[#This Row],[Sub_Category]],"-",Table1[[#This Row],[bike colour]])</f>
        <v>Road Bikes-black</v>
      </c>
    </row>
    <row r="550" spans="1:19" x14ac:dyDescent="0.3">
      <c r="A550" s="1">
        <v>44542</v>
      </c>
      <c r="B550">
        <v>12</v>
      </c>
      <c r="C550" t="s">
        <v>106</v>
      </c>
      <c r="D550">
        <v>2021</v>
      </c>
      <c r="E550">
        <v>23</v>
      </c>
      <c r="F550" t="s">
        <v>49</v>
      </c>
      <c r="G550" t="s">
        <v>122</v>
      </c>
      <c r="H550" t="s">
        <v>15</v>
      </c>
      <c r="I550" t="s">
        <v>47</v>
      </c>
      <c r="J550" t="s">
        <v>17</v>
      </c>
      <c r="K550" t="s">
        <v>55</v>
      </c>
      <c r="L550">
        <v>2</v>
      </c>
      <c r="M550" s="6">
        <v>713</v>
      </c>
      <c r="N550" s="6">
        <v>1120</v>
      </c>
      <c r="O550" s="6">
        <f>Table1[[#This Row],[Unit_Price]]*Table1[[#This Row],[Order_Quantity]]</f>
        <v>2240</v>
      </c>
      <c r="P550" s="6">
        <f>Table1[[#This Row],[Unit_Cost]]*Table1[[#This Row],[Order_Quantity]]</f>
        <v>1426</v>
      </c>
      <c r="Q550" s="4">
        <f>Table1[[#This Row],[total sales]]-Table1[[#This Row],[total cost]]</f>
        <v>814</v>
      </c>
      <c r="R550" s="6" t="s">
        <v>138</v>
      </c>
      <c r="S550" s="6" t="str">
        <f>_xlfn.CONCAT(Table1[[#This Row],[Sub_Category]],"-",Table1[[#This Row],[bike colour]])</f>
        <v>Road Bikes-black</v>
      </c>
    </row>
    <row r="551" spans="1:19" x14ac:dyDescent="0.3">
      <c r="A551" s="1">
        <v>44542</v>
      </c>
      <c r="B551">
        <v>12</v>
      </c>
      <c r="C551" t="s">
        <v>106</v>
      </c>
      <c r="D551">
        <v>2021</v>
      </c>
      <c r="E551">
        <v>34</v>
      </c>
      <c r="F551" t="s">
        <v>19</v>
      </c>
      <c r="G551" t="s">
        <v>122</v>
      </c>
      <c r="H551" t="s">
        <v>27</v>
      </c>
      <c r="I551" t="s">
        <v>33</v>
      </c>
      <c r="J551" t="s">
        <v>25</v>
      </c>
      <c r="K551" t="s">
        <v>26</v>
      </c>
      <c r="L551">
        <v>2</v>
      </c>
      <c r="M551" s="6">
        <v>713</v>
      </c>
      <c r="N551" s="6">
        <v>1120</v>
      </c>
      <c r="O551" s="6">
        <f>Table1[[#This Row],[Unit_Price]]*Table1[[#This Row],[Order_Quantity]]</f>
        <v>2240</v>
      </c>
      <c r="P551" s="6">
        <f>Table1[[#This Row],[Unit_Cost]]*Table1[[#This Row],[Order_Quantity]]</f>
        <v>1426</v>
      </c>
      <c r="Q551" s="4">
        <f>Table1[[#This Row],[total sales]]-Table1[[#This Row],[total cost]]</f>
        <v>814</v>
      </c>
      <c r="R551" s="6" t="s">
        <v>138</v>
      </c>
      <c r="S551" s="6" t="str">
        <f>_xlfn.CONCAT(Table1[[#This Row],[Sub_Category]],"-",Table1[[#This Row],[bike colour]])</f>
        <v>Mountain Bikes-black</v>
      </c>
    </row>
    <row r="552" spans="1:19" x14ac:dyDescent="0.3">
      <c r="A552" s="1">
        <v>44542</v>
      </c>
      <c r="B552">
        <v>12</v>
      </c>
      <c r="C552" t="s">
        <v>106</v>
      </c>
      <c r="D552">
        <v>2021</v>
      </c>
      <c r="E552">
        <v>33</v>
      </c>
      <c r="F552" t="s">
        <v>19</v>
      </c>
      <c r="G552" t="s">
        <v>122</v>
      </c>
      <c r="H552" t="s">
        <v>42</v>
      </c>
      <c r="I552" t="s">
        <v>68</v>
      </c>
      <c r="J552" t="s">
        <v>17</v>
      </c>
      <c r="K552" t="s">
        <v>37</v>
      </c>
      <c r="L552">
        <v>1</v>
      </c>
      <c r="M552" s="6">
        <v>713</v>
      </c>
      <c r="N552" s="6">
        <v>1120</v>
      </c>
      <c r="O552" s="6">
        <f>Table1[[#This Row],[Unit_Price]]*Table1[[#This Row],[Order_Quantity]]</f>
        <v>1120</v>
      </c>
      <c r="P552" s="6">
        <f>Table1[[#This Row],[Unit_Cost]]*Table1[[#This Row],[Order_Quantity]]</f>
        <v>713</v>
      </c>
      <c r="Q552" s="4">
        <f>Table1[[#This Row],[total sales]]-Table1[[#This Row],[total cost]]</f>
        <v>407</v>
      </c>
      <c r="R552" s="6" t="s">
        <v>137</v>
      </c>
      <c r="S552" s="6" t="str">
        <f>_xlfn.CONCAT(Table1[[#This Row],[Sub_Category]],"-",Table1[[#This Row],[bike colour]])</f>
        <v>Road Bikes-red</v>
      </c>
    </row>
    <row r="553" spans="1:19" x14ac:dyDescent="0.3">
      <c r="A553" s="1">
        <v>44542</v>
      </c>
      <c r="B553">
        <v>12</v>
      </c>
      <c r="C553" t="s">
        <v>106</v>
      </c>
      <c r="D553">
        <v>2021</v>
      </c>
      <c r="E553">
        <v>34</v>
      </c>
      <c r="F553" t="s">
        <v>19</v>
      </c>
      <c r="G553" t="s">
        <v>122</v>
      </c>
      <c r="H553" t="s">
        <v>42</v>
      </c>
      <c r="I553" t="s">
        <v>68</v>
      </c>
      <c r="J553" t="s">
        <v>17</v>
      </c>
      <c r="K553" t="s">
        <v>99</v>
      </c>
      <c r="L553">
        <v>1</v>
      </c>
      <c r="M553" s="6">
        <v>713</v>
      </c>
      <c r="N553" s="6">
        <v>1120</v>
      </c>
      <c r="O553" s="6">
        <f>Table1[[#This Row],[Unit_Price]]*Table1[[#This Row],[Order_Quantity]]</f>
        <v>1120</v>
      </c>
      <c r="P553" s="6">
        <f>Table1[[#This Row],[Unit_Cost]]*Table1[[#This Row],[Order_Quantity]]</f>
        <v>713</v>
      </c>
      <c r="Q553" s="4">
        <f>Table1[[#This Row],[total sales]]-Table1[[#This Row],[total cost]]</f>
        <v>407</v>
      </c>
      <c r="R553" s="6" t="s">
        <v>137</v>
      </c>
      <c r="S553" s="6" t="str">
        <f>_xlfn.CONCAT(Table1[[#This Row],[Sub_Category]],"-",Table1[[#This Row],[bike colour]])</f>
        <v>Road Bikes-red</v>
      </c>
    </row>
    <row r="554" spans="1:19" x14ac:dyDescent="0.3">
      <c r="A554" s="1">
        <v>44542</v>
      </c>
      <c r="B554">
        <v>12</v>
      </c>
      <c r="C554" t="s">
        <v>106</v>
      </c>
      <c r="D554">
        <v>2021</v>
      </c>
      <c r="E554">
        <v>35</v>
      </c>
      <c r="F554" t="s">
        <v>14</v>
      </c>
      <c r="G554" t="s">
        <v>120</v>
      </c>
      <c r="H554" t="s">
        <v>27</v>
      </c>
      <c r="I554" t="s">
        <v>45</v>
      </c>
      <c r="J554" t="s">
        <v>25</v>
      </c>
      <c r="K554" t="s">
        <v>56</v>
      </c>
      <c r="L554">
        <v>1</v>
      </c>
      <c r="M554" s="6">
        <v>713</v>
      </c>
      <c r="N554" s="6">
        <v>1120</v>
      </c>
      <c r="O554" s="6">
        <f>Table1[[#This Row],[Unit_Price]]*Table1[[#This Row],[Order_Quantity]]</f>
        <v>1120</v>
      </c>
      <c r="P554" s="6">
        <f>Table1[[#This Row],[Unit_Cost]]*Table1[[#This Row],[Order_Quantity]]</f>
        <v>713</v>
      </c>
      <c r="Q554" s="4">
        <f>Table1[[#This Row],[total sales]]-Table1[[#This Row],[total cost]]</f>
        <v>407</v>
      </c>
      <c r="R554" s="6" t="s">
        <v>139</v>
      </c>
      <c r="S554" s="6" t="str">
        <f>_xlfn.CONCAT(Table1[[#This Row],[Sub_Category]],"-",Table1[[#This Row],[bike colour]])</f>
        <v>Mountain Bikes-silver</v>
      </c>
    </row>
    <row r="555" spans="1:19" x14ac:dyDescent="0.3">
      <c r="A555" s="1">
        <v>44542</v>
      </c>
      <c r="B555">
        <v>12</v>
      </c>
      <c r="C555" t="s">
        <v>106</v>
      </c>
      <c r="D555">
        <v>2021</v>
      </c>
      <c r="E555">
        <v>37</v>
      </c>
      <c r="F555" t="s">
        <v>14</v>
      </c>
      <c r="G555" t="s">
        <v>122</v>
      </c>
      <c r="H555" t="s">
        <v>50</v>
      </c>
      <c r="I555" t="s">
        <v>94</v>
      </c>
      <c r="J555" t="s">
        <v>17</v>
      </c>
      <c r="K555" t="s">
        <v>79</v>
      </c>
      <c r="L555">
        <v>1</v>
      </c>
      <c r="M555" s="6">
        <v>713</v>
      </c>
      <c r="N555" s="6">
        <v>1120</v>
      </c>
      <c r="O555" s="6">
        <f>Table1[[#This Row],[Unit_Price]]*Table1[[#This Row],[Order_Quantity]]</f>
        <v>1120</v>
      </c>
      <c r="P555" s="6">
        <f>Table1[[#This Row],[Unit_Cost]]*Table1[[#This Row],[Order_Quantity]]</f>
        <v>713</v>
      </c>
      <c r="Q555" s="4">
        <f>Table1[[#This Row],[total sales]]-Table1[[#This Row],[total cost]]</f>
        <v>407</v>
      </c>
      <c r="R555" s="6" t="s">
        <v>137</v>
      </c>
      <c r="S555" s="6" t="str">
        <f>_xlfn.CONCAT(Table1[[#This Row],[Sub_Category]],"-",Table1[[#This Row],[bike colour]])</f>
        <v>Road Bikes-red</v>
      </c>
    </row>
    <row r="556" spans="1:19" x14ac:dyDescent="0.3">
      <c r="A556" s="1">
        <v>44542</v>
      </c>
      <c r="B556">
        <v>12</v>
      </c>
      <c r="C556" t="s">
        <v>106</v>
      </c>
      <c r="D556">
        <v>2021</v>
      </c>
      <c r="E556">
        <v>38</v>
      </c>
      <c r="F556" t="s">
        <v>14</v>
      </c>
      <c r="G556" t="s">
        <v>120</v>
      </c>
      <c r="H556" t="s">
        <v>15</v>
      </c>
      <c r="I556" t="s">
        <v>47</v>
      </c>
      <c r="J556" t="s">
        <v>25</v>
      </c>
      <c r="K556" t="s">
        <v>56</v>
      </c>
      <c r="L556">
        <v>1</v>
      </c>
      <c r="M556" s="6">
        <v>713</v>
      </c>
      <c r="N556" s="6">
        <v>1120</v>
      </c>
      <c r="O556" s="6">
        <f>Table1[[#This Row],[Unit_Price]]*Table1[[#This Row],[Order_Quantity]]</f>
        <v>1120</v>
      </c>
      <c r="P556" s="6">
        <f>Table1[[#This Row],[Unit_Cost]]*Table1[[#This Row],[Order_Quantity]]</f>
        <v>713</v>
      </c>
      <c r="Q556" s="4">
        <f>Table1[[#This Row],[total sales]]-Table1[[#This Row],[total cost]]</f>
        <v>407</v>
      </c>
      <c r="R556" s="6" t="s">
        <v>139</v>
      </c>
      <c r="S556" s="6" t="str">
        <f>_xlfn.CONCAT(Table1[[#This Row],[Sub_Category]],"-",Table1[[#This Row],[bike colour]])</f>
        <v>Mountain Bikes-silver</v>
      </c>
    </row>
    <row r="557" spans="1:19" x14ac:dyDescent="0.3">
      <c r="A557" s="1">
        <v>44542</v>
      </c>
      <c r="B557">
        <v>12</v>
      </c>
      <c r="C557" t="s">
        <v>106</v>
      </c>
      <c r="D557">
        <v>2021</v>
      </c>
      <c r="E557">
        <v>46</v>
      </c>
      <c r="F557" t="s">
        <v>14</v>
      </c>
      <c r="G557" t="s">
        <v>120</v>
      </c>
      <c r="H557" t="s">
        <v>27</v>
      </c>
      <c r="I557" t="s">
        <v>33</v>
      </c>
      <c r="J557" t="s">
        <v>17</v>
      </c>
      <c r="K557" t="s">
        <v>41</v>
      </c>
      <c r="L557">
        <v>1</v>
      </c>
      <c r="M557" s="6">
        <v>713</v>
      </c>
      <c r="N557" s="6">
        <v>1120</v>
      </c>
      <c r="O557" s="6">
        <f>Table1[[#This Row],[Unit_Price]]*Table1[[#This Row],[Order_Quantity]]</f>
        <v>1120</v>
      </c>
      <c r="P557" s="6">
        <f>Table1[[#This Row],[Unit_Cost]]*Table1[[#This Row],[Order_Quantity]]</f>
        <v>713</v>
      </c>
      <c r="Q557" s="4">
        <f>Table1[[#This Row],[total sales]]-Table1[[#This Row],[total cost]]</f>
        <v>407</v>
      </c>
      <c r="R557" s="6" t="s">
        <v>138</v>
      </c>
      <c r="S557" s="6" t="str">
        <f>_xlfn.CONCAT(Table1[[#This Row],[Sub_Category]],"-",Table1[[#This Row],[bike colour]])</f>
        <v>Road Bikes-black</v>
      </c>
    </row>
    <row r="558" spans="1:19" x14ac:dyDescent="0.3">
      <c r="A558" s="1">
        <v>44543</v>
      </c>
      <c r="B558">
        <v>13</v>
      </c>
      <c r="C558" t="s">
        <v>106</v>
      </c>
      <c r="D558">
        <v>2021</v>
      </c>
      <c r="E558">
        <v>28</v>
      </c>
      <c r="F558" t="s">
        <v>19</v>
      </c>
      <c r="G558" t="s">
        <v>122</v>
      </c>
      <c r="H558" t="s">
        <v>27</v>
      </c>
      <c r="I558" t="s">
        <v>33</v>
      </c>
      <c r="J558" t="s">
        <v>17</v>
      </c>
      <c r="K558" t="s">
        <v>36</v>
      </c>
      <c r="L558">
        <v>4</v>
      </c>
      <c r="M558" s="6">
        <v>713</v>
      </c>
      <c r="N558" s="6">
        <v>1120</v>
      </c>
      <c r="O558" s="6">
        <f>Table1[[#This Row],[Unit_Price]]*Table1[[#This Row],[Order_Quantity]]</f>
        <v>4480</v>
      </c>
      <c r="P558" s="6">
        <f>Table1[[#This Row],[Unit_Cost]]*Table1[[#This Row],[Order_Quantity]]</f>
        <v>2852</v>
      </c>
      <c r="Q558" s="4">
        <f>Table1[[#This Row],[total sales]]-Table1[[#This Row],[total cost]]</f>
        <v>1628</v>
      </c>
      <c r="R558" s="6" t="s">
        <v>136</v>
      </c>
      <c r="S558" s="6" t="str">
        <f>_xlfn.CONCAT(Table1[[#This Row],[Sub_Category]],"-",Table1[[#This Row],[bike colour]])</f>
        <v>Road Bikes-yellow</v>
      </c>
    </row>
    <row r="559" spans="1:19" x14ac:dyDescent="0.3">
      <c r="A559" s="1">
        <v>44543</v>
      </c>
      <c r="B559">
        <v>13</v>
      </c>
      <c r="C559" t="s">
        <v>106</v>
      </c>
      <c r="D559">
        <v>2021</v>
      </c>
      <c r="E559">
        <v>32</v>
      </c>
      <c r="F559" t="s">
        <v>19</v>
      </c>
      <c r="G559" t="s">
        <v>120</v>
      </c>
      <c r="H559" t="s">
        <v>27</v>
      </c>
      <c r="I559" t="s">
        <v>28</v>
      </c>
      <c r="J559" t="s">
        <v>25</v>
      </c>
      <c r="K559" t="s">
        <v>56</v>
      </c>
      <c r="L559">
        <v>3</v>
      </c>
      <c r="M559" s="6">
        <v>713</v>
      </c>
      <c r="N559" s="6">
        <v>1120</v>
      </c>
      <c r="O559" s="6">
        <f>Table1[[#This Row],[Unit_Price]]*Table1[[#This Row],[Order_Quantity]]</f>
        <v>3360</v>
      </c>
      <c r="P559" s="6">
        <f>Table1[[#This Row],[Unit_Cost]]*Table1[[#This Row],[Order_Quantity]]</f>
        <v>2139</v>
      </c>
      <c r="Q559" s="4">
        <f>Table1[[#This Row],[total sales]]-Table1[[#This Row],[total cost]]</f>
        <v>1221</v>
      </c>
      <c r="R559" s="6" t="s">
        <v>139</v>
      </c>
      <c r="S559" s="6" t="str">
        <f>_xlfn.CONCAT(Table1[[#This Row],[Sub_Category]],"-",Table1[[#This Row],[bike colour]])</f>
        <v>Mountain Bikes-silver</v>
      </c>
    </row>
    <row r="560" spans="1:19" x14ac:dyDescent="0.3">
      <c r="A560" s="1">
        <v>44543</v>
      </c>
      <c r="B560">
        <v>13</v>
      </c>
      <c r="C560" t="s">
        <v>106</v>
      </c>
      <c r="D560">
        <v>2021</v>
      </c>
      <c r="E560">
        <v>28</v>
      </c>
      <c r="F560" t="s">
        <v>19</v>
      </c>
      <c r="G560" t="s">
        <v>120</v>
      </c>
      <c r="H560" t="s">
        <v>50</v>
      </c>
      <c r="I560" t="s">
        <v>70</v>
      </c>
      <c r="J560" t="s">
        <v>17</v>
      </c>
      <c r="K560" t="s">
        <v>29</v>
      </c>
      <c r="L560">
        <v>2</v>
      </c>
      <c r="M560" s="6">
        <v>713</v>
      </c>
      <c r="N560" s="6">
        <v>1120</v>
      </c>
      <c r="O560" s="6">
        <f>Table1[[#This Row],[Unit_Price]]*Table1[[#This Row],[Order_Quantity]]</f>
        <v>2240</v>
      </c>
      <c r="P560" s="6">
        <f>Table1[[#This Row],[Unit_Cost]]*Table1[[#This Row],[Order_Quantity]]</f>
        <v>1426</v>
      </c>
      <c r="Q560" s="4">
        <f>Table1[[#This Row],[total sales]]-Table1[[#This Row],[total cost]]</f>
        <v>814</v>
      </c>
      <c r="R560" s="6" t="s">
        <v>136</v>
      </c>
      <c r="S560" s="6" t="str">
        <f>_xlfn.CONCAT(Table1[[#This Row],[Sub_Category]],"-",Table1[[#This Row],[bike colour]])</f>
        <v>Road Bikes-yellow</v>
      </c>
    </row>
    <row r="561" spans="1:19" x14ac:dyDescent="0.3">
      <c r="A561" s="1">
        <v>44543</v>
      </c>
      <c r="B561">
        <v>13</v>
      </c>
      <c r="C561" t="s">
        <v>106</v>
      </c>
      <c r="D561">
        <v>2021</v>
      </c>
      <c r="E561">
        <v>29</v>
      </c>
      <c r="F561" t="s">
        <v>19</v>
      </c>
      <c r="G561" t="s">
        <v>120</v>
      </c>
      <c r="H561" t="s">
        <v>27</v>
      </c>
      <c r="I561" t="s">
        <v>28</v>
      </c>
      <c r="J561" t="s">
        <v>17</v>
      </c>
      <c r="K561" t="s">
        <v>40</v>
      </c>
      <c r="L561">
        <v>2</v>
      </c>
      <c r="M561" s="6">
        <v>713</v>
      </c>
      <c r="N561" s="6">
        <v>1120</v>
      </c>
      <c r="O561" s="6">
        <f>Table1[[#This Row],[Unit_Price]]*Table1[[#This Row],[Order_Quantity]]</f>
        <v>2240</v>
      </c>
      <c r="P561" s="6">
        <f>Table1[[#This Row],[Unit_Cost]]*Table1[[#This Row],[Order_Quantity]]</f>
        <v>1426</v>
      </c>
      <c r="Q561" s="4">
        <f>Table1[[#This Row],[total sales]]-Table1[[#This Row],[total cost]]</f>
        <v>814</v>
      </c>
      <c r="R561" s="6" t="s">
        <v>138</v>
      </c>
      <c r="S561" s="6" t="str">
        <f>_xlfn.CONCAT(Table1[[#This Row],[Sub_Category]],"-",Table1[[#This Row],[bike colour]])</f>
        <v>Road Bikes-black</v>
      </c>
    </row>
    <row r="562" spans="1:19" x14ac:dyDescent="0.3">
      <c r="A562" s="1">
        <v>44543</v>
      </c>
      <c r="B562">
        <v>13</v>
      </c>
      <c r="C562" t="s">
        <v>106</v>
      </c>
      <c r="D562">
        <v>2021</v>
      </c>
      <c r="E562">
        <v>27</v>
      </c>
      <c r="F562" t="s">
        <v>19</v>
      </c>
      <c r="G562" t="s">
        <v>122</v>
      </c>
      <c r="H562" t="s">
        <v>27</v>
      </c>
      <c r="I562" t="s">
        <v>45</v>
      </c>
      <c r="J562" t="s">
        <v>17</v>
      </c>
      <c r="K562" t="s">
        <v>73</v>
      </c>
      <c r="L562">
        <v>1</v>
      </c>
      <c r="M562" s="6">
        <v>713</v>
      </c>
      <c r="N562" s="6">
        <v>1120</v>
      </c>
      <c r="O562" s="6">
        <f>Table1[[#This Row],[Unit_Price]]*Table1[[#This Row],[Order_Quantity]]</f>
        <v>1120</v>
      </c>
      <c r="P562" s="6">
        <f>Table1[[#This Row],[Unit_Cost]]*Table1[[#This Row],[Order_Quantity]]</f>
        <v>713</v>
      </c>
      <c r="Q562" s="4">
        <f>Table1[[#This Row],[total sales]]-Table1[[#This Row],[total cost]]</f>
        <v>407</v>
      </c>
      <c r="R562" s="6" t="s">
        <v>138</v>
      </c>
      <c r="S562" s="6" t="str">
        <f>_xlfn.CONCAT(Table1[[#This Row],[Sub_Category]],"-",Table1[[#This Row],[bike colour]])</f>
        <v>Road Bikes-black</v>
      </c>
    </row>
    <row r="563" spans="1:19" x14ac:dyDescent="0.3">
      <c r="A563" s="1">
        <v>44543</v>
      </c>
      <c r="B563">
        <v>13</v>
      </c>
      <c r="C563" t="s">
        <v>106</v>
      </c>
      <c r="D563">
        <v>2021</v>
      </c>
      <c r="E563">
        <v>35</v>
      </c>
      <c r="F563" t="s">
        <v>14</v>
      </c>
      <c r="G563" t="s">
        <v>120</v>
      </c>
      <c r="H563" t="s">
        <v>42</v>
      </c>
      <c r="I563" t="s">
        <v>68</v>
      </c>
      <c r="J563" t="s">
        <v>17</v>
      </c>
      <c r="K563" t="s">
        <v>63</v>
      </c>
      <c r="L563">
        <v>1</v>
      </c>
      <c r="M563" s="6">
        <v>713</v>
      </c>
      <c r="N563" s="6">
        <v>1120</v>
      </c>
      <c r="O563" s="6">
        <f>Table1[[#This Row],[Unit_Price]]*Table1[[#This Row],[Order_Quantity]]</f>
        <v>1120</v>
      </c>
      <c r="P563" s="6">
        <f>Table1[[#This Row],[Unit_Cost]]*Table1[[#This Row],[Order_Quantity]]</f>
        <v>713</v>
      </c>
      <c r="Q563" s="4">
        <f>Table1[[#This Row],[total sales]]-Table1[[#This Row],[total cost]]</f>
        <v>407</v>
      </c>
      <c r="R563" s="6" t="s">
        <v>136</v>
      </c>
      <c r="S563" s="6" t="str">
        <f>_xlfn.CONCAT(Table1[[#This Row],[Sub_Category]],"-",Table1[[#This Row],[bike colour]])</f>
        <v>Road Bikes-yellow</v>
      </c>
    </row>
    <row r="564" spans="1:19" x14ac:dyDescent="0.3">
      <c r="A564" s="1">
        <v>44543</v>
      </c>
      <c r="B564">
        <v>13</v>
      </c>
      <c r="C564" t="s">
        <v>106</v>
      </c>
      <c r="D564">
        <v>2021</v>
      </c>
      <c r="E564">
        <v>37</v>
      </c>
      <c r="F564" t="s">
        <v>14</v>
      </c>
      <c r="G564" t="s">
        <v>122</v>
      </c>
      <c r="H564" t="s">
        <v>27</v>
      </c>
      <c r="I564" t="s">
        <v>33</v>
      </c>
      <c r="J564" t="s">
        <v>17</v>
      </c>
      <c r="K564" t="s">
        <v>36</v>
      </c>
      <c r="L564">
        <v>1</v>
      </c>
      <c r="M564" s="6">
        <v>713</v>
      </c>
      <c r="N564" s="6">
        <v>1120</v>
      </c>
      <c r="O564" s="6">
        <f>Table1[[#This Row],[Unit_Price]]*Table1[[#This Row],[Order_Quantity]]</f>
        <v>1120</v>
      </c>
      <c r="P564" s="6">
        <f>Table1[[#This Row],[Unit_Cost]]*Table1[[#This Row],[Order_Quantity]]</f>
        <v>713</v>
      </c>
      <c r="Q564" s="4">
        <f>Table1[[#This Row],[total sales]]-Table1[[#This Row],[total cost]]</f>
        <v>407</v>
      </c>
      <c r="R564" s="6" t="s">
        <v>136</v>
      </c>
      <c r="S564" s="6" t="str">
        <f>_xlfn.CONCAT(Table1[[#This Row],[Sub_Category]],"-",Table1[[#This Row],[bike colour]])</f>
        <v>Road Bikes-yellow</v>
      </c>
    </row>
    <row r="565" spans="1:19" x14ac:dyDescent="0.3">
      <c r="A565" s="1">
        <v>44543</v>
      </c>
      <c r="B565">
        <v>13</v>
      </c>
      <c r="C565" t="s">
        <v>106</v>
      </c>
      <c r="D565">
        <v>2021</v>
      </c>
      <c r="E565">
        <v>40</v>
      </c>
      <c r="F565" t="s">
        <v>14</v>
      </c>
      <c r="G565" t="s">
        <v>120</v>
      </c>
      <c r="H565" t="s">
        <v>15</v>
      </c>
      <c r="I565" t="s">
        <v>16</v>
      </c>
      <c r="J565" t="s">
        <v>25</v>
      </c>
      <c r="K565" t="s">
        <v>77</v>
      </c>
      <c r="L565">
        <v>1</v>
      </c>
      <c r="M565" s="6">
        <v>713</v>
      </c>
      <c r="N565" s="6">
        <v>1120</v>
      </c>
      <c r="O565" s="6">
        <f>Table1[[#This Row],[Unit_Price]]*Table1[[#This Row],[Order_Quantity]]</f>
        <v>1120</v>
      </c>
      <c r="P565" s="6">
        <f>Table1[[#This Row],[Unit_Cost]]*Table1[[#This Row],[Order_Quantity]]</f>
        <v>713</v>
      </c>
      <c r="Q565" s="4">
        <f>Table1[[#This Row],[total sales]]-Table1[[#This Row],[total cost]]</f>
        <v>407</v>
      </c>
      <c r="R565" s="6" t="s">
        <v>139</v>
      </c>
      <c r="S565" s="6" t="str">
        <f>_xlfn.CONCAT(Table1[[#This Row],[Sub_Category]],"-",Table1[[#This Row],[bike colour]])</f>
        <v>Mountain Bikes-silver</v>
      </c>
    </row>
    <row r="566" spans="1:19" x14ac:dyDescent="0.3">
      <c r="A566" s="1">
        <v>44543</v>
      </c>
      <c r="B566">
        <v>13</v>
      </c>
      <c r="C566" t="s">
        <v>106</v>
      </c>
      <c r="D566">
        <v>2021</v>
      </c>
      <c r="E566">
        <v>44</v>
      </c>
      <c r="F566" t="s">
        <v>14</v>
      </c>
      <c r="G566" t="s">
        <v>120</v>
      </c>
      <c r="H566" t="s">
        <v>23</v>
      </c>
      <c r="I566" t="s">
        <v>24</v>
      </c>
      <c r="J566" t="s">
        <v>25</v>
      </c>
      <c r="K566" t="s">
        <v>26</v>
      </c>
      <c r="L566">
        <v>1</v>
      </c>
      <c r="M566" s="6">
        <v>713</v>
      </c>
      <c r="N566" s="6">
        <v>1120</v>
      </c>
      <c r="O566" s="6">
        <f>Table1[[#This Row],[Unit_Price]]*Table1[[#This Row],[Order_Quantity]]</f>
        <v>1120</v>
      </c>
      <c r="P566" s="6">
        <f>Table1[[#This Row],[Unit_Cost]]*Table1[[#This Row],[Order_Quantity]]</f>
        <v>713</v>
      </c>
      <c r="Q566" s="4">
        <f>Table1[[#This Row],[total sales]]-Table1[[#This Row],[total cost]]</f>
        <v>407</v>
      </c>
      <c r="R566" s="6" t="s">
        <v>138</v>
      </c>
      <c r="S566" s="6" t="str">
        <f>_xlfn.CONCAT(Table1[[#This Row],[Sub_Category]],"-",Table1[[#This Row],[bike colour]])</f>
        <v>Mountain Bikes-black</v>
      </c>
    </row>
    <row r="567" spans="1:19" x14ac:dyDescent="0.3">
      <c r="A567" s="1">
        <v>44543</v>
      </c>
      <c r="B567">
        <v>13</v>
      </c>
      <c r="C567" t="s">
        <v>106</v>
      </c>
      <c r="D567">
        <v>2021</v>
      </c>
      <c r="E567">
        <v>49</v>
      </c>
      <c r="F567" t="s">
        <v>14</v>
      </c>
      <c r="G567" t="s">
        <v>122</v>
      </c>
      <c r="H567" t="s">
        <v>23</v>
      </c>
      <c r="I567" t="s">
        <v>24</v>
      </c>
      <c r="J567" t="s">
        <v>25</v>
      </c>
      <c r="K567" t="s">
        <v>26</v>
      </c>
      <c r="L567">
        <v>1</v>
      </c>
      <c r="M567" s="6">
        <v>713</v>
      </c>
      <c r="N567" s="6">
        <v>1120</v>
      </c>
      <c r="O567" s="6">
        <f>Table1[[#This Row],[Unit_Price]]*Table1[[#This Row],[Order_Quantity]]</f>
        <v>1120</v>
      </c>
      <c r="P567" s="6">
        <f>Table1[[#This Row],[Unit_Cost]]*Table1[[#This Row],[Order_Quantity]]</f>
        <v>713</v>
      </c>
      <c r="Q567" s="4">
        <f>Table1[[#This Row],[total sales]]-Table1[[#This Row],[total cost]]</f>
        <v>407</v>
      </c>
      <c r="R567" s="6" t="s">
        <v>138</v>
      </c>
      <c r="S567" s="6" t="str">
        <f>_xlfn.CONCAT(Table1[[#This Row],[Sub_Category]],"-",Table1[[#This Row],[bike colour]])</f>
        <v>Mountain Bikes-black</v>
      </c>
    </row>
    <row r="568" spans="1:19" x14ac:dyDescent="0.3">
      <c r="A568" s="1">
        <v>44543</v>
      </c>
      <c r="B568">
        <v>13</v>
      </c>
      <c r="C568" t="s">
        <v>106</v>
      </c>
      <c r="D568">
        <v>2021</v>
      </c>
      <c r="E568">
        <v>54</v>
      </c>
      <c r="F568" t="s">
        <v>14</v>
      </c>
      <c r="G568" t="s">
        <v>120</v>
      </c>
      <c r="H568" t="s">
        <v>15</v>
      </c>
      <c r="I568" t="s">
        <v>47</v>
      </c>
      <c r="J568" t="s">
        <v>17</v>
      </c>
      <c r="K568" t="s">
        <v>102</v>
      </c>
      <c r="L568">
        <v>1</v>
      </c>
      <c r="M568" s="6">
        <v>713</v>
      </c>
      <c r="N568" s="6">
        <v>1120</v>
      </c>
      <c r="O568" s="6">
        <f>Table1[[#This Row],[Unit_Price]]*Table1[[#This Row],[Order_Quantity]]</f>
        <v>1120</v>
      </c>
      <c r="P568" s="6">
        <f>Table1[[#This Row],[Unit_Cost]]*Table1[[#This Row],[Order_Quantity]]</f>
        <v>713</v>
      </c>
      <c r="Q568" s="4">
        <f>Table1[[#This Row],[total sales]]-Table1[[#This Row],[total cost]]</f>
        <v>407</v>
      </c>
      <c r="R568" s="6" t="s">
        <v>137</v>
      </c>
      <c r="S568" s="6" t="str">
        <f>_xlfn.CONCAT(Table1[[#This Row],[Sub_Category]],"-",Table1[[#This Row],[bike colour]])</f>
        <v>Road Bikes-red</v>
      </c>
    </row>
    <row r="569" spans="1:19" x14ac:dyDescent="0.3">
      <c r="A569" s="1">
        <v>44543</v>
      </c>
      <c r="B569">
        <v>13</v>
      </c>
      <c r="C569" t="s">
        <v>106</v>
      </c>
      <c r="D569">
        <v>2021</v>
      </c>
      <c r="E569">
        <v>69</v>
      </c>
      <c r="F569" t="s">
        <v>112</v>
      </c>
      <c r="G569" t="s">
        <v>122</v>
      </c>
      <c r="H569" t="s">
        <v>27</v>
      </c>
      <c r="I569" t="s">
        <v>28</v>
      </c>
      <c r="J569" t="s">
        <v>17</v>
      </c>
      <c r="K569" t="s">
        <v>46</v>
      </c>
      <c r="L569">
        <v>1</v>
      </c>
      <c r="M569" s="6">
        <v>713</v>
      </c>
      <c r="N569" s="6">
        <v>1120</v>
      </c>
      <c r="O569" s="6">
        <f>Table1[[#This Row],[Unit_Price]]*Table1[[#This Row],[Order_Quantity]]</f>
        <v>1120</v>
      </c>
      <c r="P569" s="6">
        <f>Table1[[#This Row],[Unit_Cost]]*Table1[[#This Row],[Order_Quantity]]</f>
        <v>713</v>
      </c>
      <c r="Q569" s="4">
        <f>Table1[[#This Row],[total sales]]-Table1[[#This Row],[total cost]]</f>
        <v>407</v>
      </c>
      <c r="R569" s="6" t="s">
        <v>137</v>
      </c>
      <c r="S569" s="6" t="str">
        <f>_xlfn.CONCAT(Table1[[#This Row],[Sub_Category]],"-",Table1[[#This Row],[bike colour]])</f>
        <v>Road Bikes-red</v>
      </c>
    </row>
    <row r="570" spans="1:19" x14ac:dyDescent="0.3">
      <c r="A570" s="1">
        <v>44544</v>
      </c>
      <c r="B570">
        <v>14</v>
      </c>
      <c r="C570" t="s">
        <v>106</v>
      </c>
      <c r="D570">
        <v>2021</v>
      </c>
      <c r="E570">
        <v>33</v>
      </c>
      <c r="F570" t="s">
        <v>19</v>
      </c>
      <c r="G570" t="s">
        <v>120</v>
      </c>
      <c r="H570" t="s">
        <v>42</v>
      </c>
      <c r="I570" t="s">
        <v>86</v>
      </c>
      <c r="J570" t="s">
        <v>17</v>
      </c>
      <c r="K570" t="s">
        <v>35</v>
      </c>
      <c r="L570">
        <v>4</v>
      </c>
      <c r="M570" s="6">
        <v>713</v>
      </c>
      <c r="N570" s="6">
        <v>1120</v>
      </c>
      <c r="O570" s="6">
        <f>Table1[[#This Row],[Unit_Price]]*Table1[[#This Row],[Order_Quantity]]</f>
        <v>4480</v>
      </c>
      <c r="P570" s="6">
        <f>Table1[[#This Row],[Unit_Cost]]*Table1[[#This Row],[Order_Quantity]]</f>
        <v>2852</v>
      </c>
      <c r="Q570" s="4">
        <f>Table1[[#This Row],[total sales]]-Table1[[#This Row],[total cost]]</f>
        <v>1628</v>
      </c>
      <c r="R570" s="6" t="s">
        <v>137</v>
      </c>
      <c r="S570" s="6" t="str">
        <f>_xlfn.CONCAT(Table1[[#This Row],[Sub_Category]],"-",Table1[[#This Row],[bike colour]])</f>
        <v>Road Bikes-red</v>
      </c>
    </row>
    <row r="571" spans="1:19" x14ac:dyDescent="0.3">
      <c r="A571" s="1">
        <v>44544</v>
      </c>
      <c r="B571">
        <v>14</v>
      </c>
      <c r="C571" t="s">
        <v>106</v>
      </c>
      <c r="D571">
        <v>2021</v>
      </c>
      <c r="E571">
        <v>46</v>
      </c>
      <c r="F571" t="s">
        <v>14</v>
      </c>
      <c r="G571" t="s">
        <v>120</v>
      </c>
      <c r="H571" t="s">
        <v>27</v>
      </c>
      <c r="I571" t="s">
        <v>45</v>
      </c>
      <c r="J571" t="s">
        <v>17</v>
      </c>
      <c r="K571" t="s">
        <v>41</v>
      </c>
      <c r="L571">
        <v>4</v>
      </c>
      <c r="M571" s="6">
        <v>713</v>
      </c>
      <c r="N571" s="6">
        <v>1120</v>
      </c>
      <c r="O571" s="6">
        <f>Table1[[#This Row],[Unit_Price]]*Table1[[#This Row],[Order_Quantity]]</f>
        <v>4480</v>
      </c>
      <c r="P571" s="6">
        <f>Table1[[#This Row],[Unit_Cost]]*Table1[[#This Row],[Order_Quantity]]</f>
        <v>2852</v>
      </c>
      <c r="Q571" s="4">
        <f>Table1[[#This Row],[total sales]]-Table1[[#This Row],[total cost]]</f>
        <v>1628</v>
      </c>
      <c r="R571" s="6" t="s">
        <v>138</v>
      </c>
      <c r="S571" s="6" t="str">
        <f>_xlfn.CONCAT(Table1[[#This Row],[Sub_Category]],"-",Table1[[#This Row],[bike colour]])</f>
        <v>Road Bikes-black</v>
      </c>
    </row>
    <row r="572" spans="1:19" x14ac:dyDescent="0.3">
      <c r="A572" s="1">
        <v>44544</v>
      </c>
      <c r="B572">
        <v>14</v>
      </c>
      <c r="C572" t="s">
        <v>106</v>
      </c>
      <c r="D572">
        <v>2021</v>
      </c>
      <c r="E572">
        <v>32</v>
      </c>
      <c r="F572" t="s">
        <v>19</v>
      </c>
      <c r="G572" t="s">
        <v>122</v>
      </c>
      <c r="H572" t="s">
        <v>50</v>
      </c>
      <c r="I572" t="s">
        <v>94</v>
      </c>
      <c r="J572" t="s">
        <v>17</v>
      </c>
      <c r="K572" t="s">
        <v>54</v>
      </c>
      <c r="L572">
        <v>3</v>
      </c>
      <c r="M572" s="6">
        <v>713</v>
      </c>
      <c r="N572" s="6">
        <v>1120</v>
      </c>
      <c r="O572" s="6">
        <f>Table1[[#This Row],[Unit_Price]]*Table1[[#This Row],[Order_Quantity]]</f>
        <v>3360</v>
      </c>
      <c r="P572" s="6">
        <f>Table1[[#This Row],[Unit_Cost]]*Table1[[#This Row],[Order_Quantity]]</f>
        <v>2139</v>
      </c>
      <c r="Q572" s="4">
        <f>Table1[[#This Row],[total sales]]-Table1[[#This Row],[total cost]]</f>
        <v>1221</v>
      </c>
      <c r="R572" s="6" t="s">
        <v>137</v>
      </c>
      <c r="S572" s="6" t="str">
        <f>_xlfn.CONCAT(Table1[[#This Row],[Sub_Category]],"-",Table1[[#This Row],[bike colour]])</f>
        <v>Road Bikes-red</v>
      </c>
    </row>
    <row r="573" spans="1:19" x14ac:dyDescent="0.3">
      <c r="A573" s="1">
        <v>44544</v>
      </c>
      <c r="B573">
        <v>14</v>
      </c>
      <c r="C573" t="s">
        <v>106</v>
      </c>
      <c r="D573">
        <v>2021</v>
      </c>
      <c r="E573">
        <v>32</v>
      </c>
      <c r="F573" t="s">
        <v>19</v>
      </c>
      <c r="G573" t="s">
        <v>122</v>
      </c>
      <c r="H573" t="s">
        <v>50</v>
      </c>
      <c r="I573" t="s">
        <v>51</v>
      </c>
      <c r="J573" t="s">
        <v>17</v>
      </c>
      <c r="K573" t="s">
        <v>81</v>
      </c>
      <c r="L573">
        <v>3</v>
      </c>
      <c r="M573" s="6">
        <v>713</v>
      </c>
      <c r="N573" s="6">
        <v>1120</v>
      </c>
      <c r="O573" s="6">
        <f>Table1[[#This Row],[Unit_Price]]*Table1[[#This Row],[Order_Quantity]]</f>
        <v>3360</v>
      </c>
      <c r="P573" s="6">
        <f>Table1[[#This Row],[Unit_Cost]]*Table1[[#This Row],[Order_Quantity]]</f>
        <v>2139</v>
      </c>
      <c r="Q573" s="4">
        <f>Table1[[#This Row],[total sales]]-Table1[[#This Row],[total cost]]</f>
        <v>1221</v>
      </c>
      <c r="R573" s="6" t="s">
        <v>136</v>
      </c>
      <c r="S573" s="6" t="str">
        <f>_xlfn.CONCAT(Table1[[#This Row],[Sub_Category]],"-",Table1[[#This Row],[bike colour]])</f>
        <v>Road Bikes-yellow</v>
      </c>
    </row>
    <row r="574" spans="1:19" x14ac:dyDescent="0.3">
      <c r="A574" s="1">
        <v>44544</v>
      </c>
      <c r="B574">
        <v>14</v>
      </c>
      <c r="C574" t="s">
        <v>106</v>
      </c>
      <c r="D574">
        <v>2021</v>
      </c>
      <c r="E574">
        <v>30</v>
      </c>
      <c r="F574" t="s">
        <v>19</v>
      </c>
      <c r="G574" t="s">
        <v>120</v>
      </c>
      <c r="H574" t="s">
        <v>15</v>
      </c>
      <c r="I574" t="s">
        <v>47</v>
      </c>
      <c r="J574" t="s">
        <v>25</v>
      </c>
      <c r="K574" t="s">
        <v>31</v>
      </c>
      <c r="L574">
        <v>2</v>
      </c>
      <c r="M574" s="6">
        <v>713</v>
      </c>
      <c r="N574" s="6">
        <v>1120</v>
      </c>
      <c r="O574" s="6">
        <f>Table1[[#This Row],[Unit_Price]]*Table1[[#This Row],[Order_Quantity]]</f>
        <v>2240</v>
      </c>
      <c r="P574" s="6">
        <f>Table1[[#This Row],[Unit_Cost]]*Table1[[#This Row],[Order_Quantity]]</f>
        <v>1426</v>
      </c>
      <c r="Q574" s="4">
        <f>Table1[[#This Row],[total sales]]-Table1[[#This Row],[total cost]]</f>
        <v>814</v>
      </c>
      <c r="R574" s="6" t="s">
        <v>139</v>
      </c>
      <c r="S574" s="6" t="str">
        <f>_xlfn.CONCAT(Table1[[#This Row],[Sub_Category]],"-",Table1[[#This Row],[bike colour]])</f>
        <v>Mountain Bikes-silver</v>
      </c>
    </row>
    <row r="575" spans="1:19" x14ac:dyDescent="0.3">
      <c r="A575" s="1">
        <v>44544</v>
      </c>
      <c r="B575">
        <v>14</v>
      </c>
      <c r="C575" t="s">
        <v>106</v>
      </c>
      <c r="D575">
        <v>2021</v>
      </c>
      <c r="E575">
        <v>30</v>
      </c>
      <c r="F575" t="s">
        <v>19</v>
      </c>
      <c r="G575" t="s">
        <v>122</v>
      </c>
      <c r="H575" t="s">
        <v>50</v>
      </c>
      <c r="I575" t="s">
        <v>90</v>
      </c>
      <c r="J575" t="s">
        <v>17</v>
      </c>
      <c r="K575" t="s">
        <v>66</v>
      </c>
      <c r="L575">
        <v>2</v>
      </c>
      <c r="M575" s="6">
        <v>713</v>
      </c>
      <c r="N575" s="6">
        <v>1120</v>
      </c>
      <c r="O575" s="6">
        <f>Table1[[#This Row],[Unit_Price]]*Table1[[#This Row],[Order_Quantity]]</f>
        <v>2240</v>
      </c>
      <c r="P575" s="6">
        <f>Table1[[#This Row],[Unit_Cost]]*Table1[[#This Row],[Order_Quantity]]</f>
        <v>1426</v>
      </c>
      <c r="Q575" s="4">
        <f>Table1[[#This Row],[total sales]]-Table1[[#This Row],[total cost]]</f>
        <v>814</v>
      </c>
      <c r="R575" s="6" t="s">
        <v>138</v>
      </c>
      <c r="S575" s="6" t="str">
        <f>_xlfn.CONCAT(Table1[[#This Row],[Sub_Category]],"-",Table1[[#This Row],[bike colour]])</f>
        <v>Road Bikes-black</v>
      </c>
    </row>
    <row r="576" spans="1:19" x14ac:dyDescent="0.3">
      <c r="A576" s="1">
        <v>44544</v>
      </c>
      <c r="B576">
        <v>14</v>
      </c>
      <c r="C576" t="s">
        <v>106</v>
      </c>
      <c r="D576">
        <v>2021</v>
      </c>
      <c r="E576">
        <v>36</v>
      </c>
      <c r="F576" t="s">
        <v>14</v>
      </c>
      <c r="G576" t="s">
        <v>120</v>
      </c>
      <c r="H576" t="s">
        <v>27</v>
      </c>
      <c r="I576" t="s">
        <v>30</v>
      </c>
      <c r="J576" t="s">
        <v>17</v>
      </c>
      <c r="K576" t="s">
        <v>38</v>
      </c>
      <c r="L576">
        <v>2</v>
      </c>
      <c r="M576" s="6">
        <v>713</v>
      </c>
      <c r="N576" s="6">
        <v>1120</v>
      </c>
      <c r="O576" s="6">
        <f>Table1[[#This Row],[Unit_Price]]*Table1[[#This Row],[Order_Quantity]]</f>
        <v>2240</v>
      </c>
      <c r="P576" s="6">
        <f>Table1[[#This Row],[Unit_Cost]]*Table1[[#This Row],[Order_Quantity]]</f>
        <v>1426</v>
      </c>
      <c r="Q576" s="4">
        <f>Table1[[#This Row],[total sales]]-Table1[[#This Row],[total cost]]</f>
        <v>814</v>
      </c>
      <c r="R576" s="6" t="s">
        <v>137</v>
      </c>
      <c r="S576" s="6" t="str">
        <f>_xlfn.CONCAT(Table1[[#This Row],[Sub_Category]],"-",Table1[[#This Row],[bike colour]])</f>
        <v>Road Bikes-red</v>
      </c>
    </row>
    <row r="577" spans="1:19" x14ac:dyDescent="0.3">
      <c r="A577" s="1">
        <v>44544</v>
      </c>
      <c r="B577">
        <v>14</v>
      </c>
      <c r="C577" t="s">
        <v>106</v>
      </c>
      <c r="D577">
        <v>2021</v>
      </c>
      <c r="E577">
        <v>43</v>
      </c>
      <c r="F577" t="s">
        <v>14</v>
      </c>
      <c r="G577" t="s">
        <v>120</v>
      </c>
      <c r="H577" t="s">
        <v>15</v>
      </c>
      <c r="I577" t="s">
        <v>16</v>
      </c>
      <c r="J577" t="s">
        <v>17</v>
      </c>
      <c r="K577" t="s">
        <v>79</v>
      </c>
      <c r="L577">
        <v>2</v>
      </c>
      <c r="M577" s="6">
        <v>713</v>
      </c>
      <c r="N577" s="6">
        <v>1120</v>
      </c>
      <c r="O577" s="6">
        <f>Table1[[#This Row],[Unit_Price]]*Table1[[#This Row],[Order_Quantity]]</f>
        <v>2240</v>
      </c>
      <c r="P577" s="6">
        <f>Table1[[#This Row],[Unit_Cost]]*Table1[[#This Row],[Order_Quantity]]</f>
        <v>1426</v>
      </c>
      <c r="Q577" s="4">
        <f>Table1[[#This Row],[total sales]]-Table1[[#This Row],[total cost]]</f>
        <v>814</v>
      </c>
      <c r="R577" s="6" t="s">
        <v>137</v>
      </c>
      <c r="S577" s="6" t="str">
        <f>_xlfn.CONCAT(Table1[[#This Row],[Sub_Category]],"-",Table1[[#This Row],[bike colour]])</f>
        <v>Road Bikes-red</v>
      </c>
    </row>
    <row r="578" spans="1:19" x14ac:dyDescent="0.3">
      <c r="A578" s="1">
        <v>44544</v>
      </c>
      <c r="B578">
        <v>14</v>
      </c>
      <c r="C578" t="s">
        <v>106</v>
      </c>
      <c r="D578">
        <v>2021</v>
      </c>
      <c r="E578">
        <v>32</v>
      </c>
      <c r="F578" t="s">
        <v>19</v>
      </c>
      <c r="G578" t="s">
        <v>122</v>
      </c>
      <c r="H578" t="s">
        <v>15</v>
      </c>
      <c r="I578" t="s">
        <v>16</v>
      </c>
      <c r="J578" t="s">
        <v>25</v>
      </c>
      <c r="K578" t="s">
        <v>61</v>
      </c>
      <c r="L578">
        <v>1</v>
      </c>
      <c r="M578" s="6">
        <v>713</v>
      </c>
      <c r="N578" s="6">
        <v>1120</v>
      </c>
      <c r="O578" s="6">
        <f>Table1[[#This Row],[Unit_Price]]*Table1[[#This Row],[Order_Quantity]]</f>
        <v>1120</v>
      </c>
      <c r="P578" s="6">
        <f>Table1[[#This Row],[Unit_Cost]]*Table1[[#This Row],[Order_Quantity]]</f>
        <v>713</v>
      </c>
      <c r="Q578" s="4">
        <f>Table1[[#This Row],[total sales]]-Table1[[#This Row],[total cost]]</f>
        <v>407</v>
      </c>
      <c r="R578" s="6" t="s">
        <v>138</v>
      </c>
      <c r="S578" s="6" t="str">
        <f>_xlfn.CONCAT(Table1[[#This Row],[Sub_Category]],"-",Table1[[#This Row],[bike colour]])</f>
        <v>Mountain Bikes-black</v>
      </c>
    </row>
    <row r="579" spans="1:19" x14ac:dyDescent="0.3">
      <c r="A579" s="1">
        <v>44544</v>
      </c>
      <c r="B579">
        <v>14</v>
      </c>
      <c r="C579" t="s">
        <v>106</v>
      </c>
      <c r="D579">
        <v>2021</v>
      </c>
      <c r="E579">
        <v>32</v>
      </c>
      <c r="F579" t="s">
        <v>19</v>
      </c>
      <c r="G579" t="s">
        <v>120</v>
      </c>
      <c r="H579" t="s">
        <v>27</v>
      </c>
      <c r="I579" t="s">
        <v>45</v>
      </c>
      <c r="J579" t="s">
        <v>25</v>
      </c>
      <c r="K579" t="s">
        <v>92</v>
      </c>
      <c r="L579">
        <v>1</v>
      </c>
      <c r="M579" s="6">
        <v>713</v>
      </c>
      <c r="N579" s="6">
        <v>1120</v>
      </c>
      <c r="O579" s="6">
        <f>Table1[[#This Row],[Unit_Price]]*Table1[[#This Row],[Order_Quantity]]</f>
        <v>1120</v>
      </c>
      <c r="P579" s="6">
        <f>Table1[[#This Row],[Unit_Cost]]*Table1[[#This Row],[Order_Quantity]]</f>
        <v>713</v>
      </c>
      <c r="Q579" s="4">
        <f>Table1[[#This Row],[total sales]]-Table1[[#This Row],[total cost]]</f>
        <v>407</v>
      </c>
      <c r="R579" s="6" t="s">
        <v>139</v>
      </c>
      <c r="S579" s="6" t="str">
        <f>_xlfn.CONCAT(Table1[[#This Row],[Sub_Category]],"-",Table1[[#This Row],[bike colour]])</f>
        <v>Mountain Bikes-silver</v>
      </c>
    </row>
    <row r="580" spans="1:19" x14ac:dyDescent="0.3">
      <c r="A580" s="1">
        <v>44544</v>
      </c>
      <c r="B580">
        <v>14</v>
      </c>
      <c r="C580" t="s">
        <v>106</v>
      </c>
      <c r="D580">
        <v>2021</v>
      </c>
      <c r="E580">
        <v>36</v>
      </c>
      <c r="F580" t="s">
        <v>14</v>
      </c>
      <c r="G580" t="s">
        <v>120</v>
      </c>
      <c r="H580" t="s">
        <v>27</v>
      </c>
      <c r="I580" t="s">
        <v>45</v>
      </c>
      <c r="J580" t="s">
        <v>17</v>
      </c>
      <c r="K580" t="s">
        <v>44</v>
      </c>
      <c r="L580">
        <v>1</v>
      </c>
      <c r="M580" s="6">
        <v>713</v>
      </c>
      <c r="N580" s="6">
        <v>1120</v>
      </c>
      <c r="O580" s="6">
        <f>Table1[[#This Row],[Unit_Price]]*Table1[[#This Row],[Order_Quantity]]</f>
        <v>1120</v>
      </c>
      <c r="P580" s="6">
        <f>Table1[[#This Row],[Unit_Cost]]*Table1[[#This Row],[Order_Quantity]]</f>
        <v>713</v>
      </c>
      <c r="Q580" s="4">
        <f>Table1[[#This Row],[total sales]]-Table1[[#This Row],[total cost]]</f>
        <v>407</v>
      </c>
      <c r="R580" s="6" t="s">
        <v>136</v>
      </c>
      <c r="S580" s="6" t="str">
        <f>_xlfn.CONCAT(Table1[[#This Row],[Sub_Category]],"-",Table1[[#This Row],[bike colour]])</f>
        <v>Road Bikes-yellow</v>
      </c>
    </row>
    <row r="581" spans="1:19" x14ac:dyDescent="0.3">
      <c r="A581" s="1">
        <v>44544</v>
      </c>
      <c r="B581">
        <v>14</v>
      </c>
      <c r="C581" t="s">
        <v>106</v>
      </c>
      <c r="D581">
        <v>2021</v>
      </c>
      <c r="E581">
        <v>37</v>
      </c>
      <c r="F581" t="s">
        <v>14</v>
      </c>
      <c r="G581" t="s">
        <v>122</v>
      </c>
      <c r="H581" t="s">
        <v>42</v>
      </c>
      <c r="I581" t="s">
        <v>68</v>
      </c>
      <c r="J581" t="s">
        <v>17</v>
      </c>
      <c r="K581" t="s">
        <v>65</v>
      </c>
      <c r="L581">
        <v>1</v>
      </c>
      <c r="M581" s="6">
        <v>713</v>
      </c>
      <c r="N581" s="6">
        <v>1120</v>
      </c>
      <c r="O581" s="6">
        <f>Table1[[#This Row],[Unit_Price]]*Table1[[#This Row],[Order_Quantity]]</f>
        <v>1120</v>
      </c>
      <c r="P581" s="6">
        <f>Table1[[#This Row],[Unit_Cost]]*Table1[[#This Row],[Order_Quantity]]</f>
        <v>713</v>
      </c>
      <c r="Q581" s="4">
        <f>Table1[[#This Row],[total sales]]-Table1[[#This Row],[total cost]]</f>
        <v>407</v>
      </c>
      <c r="R581" s="6" t="s">
        <v>136</v>
      </c>
      <c r="S581" s="6" t="str">
        <f>_xlfn.CONCAT(Table1[[#This Row],[Sub_Category]],"-",Table1[[#This Row],[bike colour]])</f>
        <v>Road Bikes-yellow</v>
      </c>
    </row>
    <row r="582" spans="1:19" x14ac:dyDescent="0.3">
      <c r="A582" s="1">
        <v>44544</v>
      </c>
      <c r="B582">
        <v>14</v>
      </c>
      <c r="C582" t="s">
        <v>106</v>
      </c>
      <c r="D582">
        <v>2021</v>
      </c>
      <c r="E582">
        <v>40</v>
      </c>
      <c r="F582" t="s">
        <v>14</v>
      </c>
      <c r="G582" t="s">
        <v>120</v>
      </c>
      <c r="H582" t="s">
        <v>42</v>
      </c>
      <c r="I582" t="s">
        <v>86</v>
      </c>
      <c r="J582" t="s">
        <v>17</v>
      </c>
      <c r="K582" t="s">
        <v>79</v>
      </c>
      <c r="L582">
        <v>1</v>
      </c>
      <c r="M582" s="6">
        <v>713</v>
      </c>
      <c r="N582" s="6">
        <v>1120</v>
      </c>
      <c r="O582" s="6">
        <f>Table1[[#This Row],[Unit_Price]]*Table1[[#This Row],[Order_Quantity]]</f>
        <v>1120</v>
      </c>
      <c r="P582" s="6">
        <f>Table1[[#This Row],[Unit_Cost]]*Table1[[#This Row],[Order_Quantity]]</f>
        <v>713</v>
      </c>
      <c r="Q582" s="4">
        <f>Table1[[#This Row],[total sales]]-Table1[[#This Row],[total cost]]</f>
        <v>407</v>
      </c>
      <c r="R582" s="6" t="s">
        <v>137</v>
      </c>
      <c r="S582" s="6" t="str">
        <f>_xlfn.CONCAT(Table1[[#This Row],[Sub_Category]],"-",Table1[[#This Row],[bike colour]])</f>
        <v>Road Bikes-red</v>
      </c>
    </row>
    <row r="583" spans="1:19" x14ac:dyDescent="0.3">
      <c r="A583" s="1">
        <v>44544</v>
      </c>
      <c r="B583">
        <v>14</v>
      </c>
      <c r="C583" t="s">
        <v>106</v>
      </c>
      <c r="D583">
        <v>2021</v>
      </c>
      <c r="E583">
        <v>44</v>
      </c>
      <c r="F583" t="s">
        <v>14</v>
      </c>
      <c r="G583" t="s">
        <v>122</v>
      </c>
      <c r="H583" t="s">
        <v>15</v>
      </c>
      <c r="I583" t="s">
        <v>16</v>
      </c>
      <c r="J583" t="s">
        <v>17</v>
      </c>
      <c r="K583" t="s">
        <v>41</v>
      </c>
      <c r="L583">
        <v>1</v>
      </c>
      <c r="M583" s="6">
        <v>713</v>
      </c>
      <c r="N583" s="6">
        <v>1120</v>
      </c>
      <c r="O583" s="6">
        <f>Table1[[#This Row],[Unit_Price]]*Table1[[#This Row],[Order_Quantity]]</f>
        <v>1120</v>
      </c>
      <c r="P583" s="6">
        <f>Table1[[#This Row],[Unit_Cost]]*Table1[[#This Row],[Order_Quantity]]</f>
        <v>713</v>
      </c>
      <c r="Q583" s="4">
        <f>Table1[[#This Row],[total sales]]-Table1[[#This Row],[total cost]]</f>
        <v>407</v>
      </c>
      <c r="R583" s="6" t="s">
        <v>138</v>
      </c>
      <c r="S583" s="6" t="str">
        <f>_xlfn.CONCAT(Table1[[#This Row],[Sub_Category]],"-",Table1[[#This Row],[bike colour]])</f>
        <v>Road Bikes-black</v>
      </c>
    </row>
    <row r="584" spans="1:19" x14ac:dyDescent="0.3">
      <c r="A584" s="1">
        <v>44544</v>
      </c>
      <c r="B584">
        <v>14</v>
      </c>
      <c r="C584" t="s">
        <v>106</v>
      </c>
      <c r="D584">
        <v>2021</v>
      </c>
      <c r="E584">
        <v>44</v>
      </c>
      <c r="F584" t="s">
        <v>14</v>
      </c>
      <c r="G584" t="s">
        <v>122</v>
      </c>
      <c r="H584" t="s">
        <v>27</v>
      </c>
      <c r="I584" t="s">
        <v>33</v>
      </c>
      <c r="J584" t="s">
        <v>17</v>
      </c>
      <c r="K584" t="s">
        <v>46</v>
      </c>
      <c r="L584">
        <v>1</v>
      </c>
      <c r="M584" s="6">
        <v>713</v>
      </c>
      <c r="N584" s="6">
        <v>1120</v>
      </c>
      <c r="O584" s="6">
        <f>Table1[[#This Row],[Unit_Price]]*Table1[[#This Row],[Order_Quantity]]</f>
        <v>1120</v>
      </c>
      <c r="P584" s="6">
        <f>Table1[[#This Row],[Unit_Cost]]*Table1[[#This Row],[Order_Quantity]]</f>
        <v>713</v>
      </c>
      <c r="Q584" s="4">
        <f>Table1[[#This Row],[total sales]]-Table1[[#This Row],[total cost]]</f>
        <v>407</v>
      </c>
      <c r="R584" s="6" t="s">
        <v>137</v>
      </c>
      <c r="S584" s="6" t="str">
        <f>_xlfn.CONCAT(Table1[[#This Row],[Sub_Category]],"-",Table1[[#This Row],[bike colour]])</f>
        <v>Road Bikes-red</v>
      </c>
    </row>
    <row r="585" spans="1:19" x14ac:dyDescent="0.3">
      <c r="A585" s="1">
        <v>44544</v>
      </c>
      <c r="B585">
        <v>14</v>
      </c>
      <c r="C585" t="s">
        <v>106</v>
      </c>
      <c r="D585">
        <v>2021</v>
      </c>
      <c r="E585">
        <v>55</v>
      </c>
      <c r="F585" t="s">
        <v>14</v>
      </c>
      <c r="G585" t="s">
        <v>122</v>
      </c>
      <c r="H585" t="s">
        <v>15</v>
      </c>
      <c r="I585" t="s">
        <v>47</v>
      </c>
      <c r="J585" t="s">
        <v>17</v>
      </c>
      <c r="K585" t="s">
        <v>81</v>
      </c>
      <c r="L585">
        <v>1</v>
      </c>
      <c r="M585" s="6">
        <v>713</v>
      </c>
      <c r="N585" s="6">
        <v>1120</v>
      </c>
      <c r="O585" s="6">
        <f>Table1[[#This Row],[Unit_Price]]*Table1[[#This Row],[Order_Quantity]]</f>
        <v>1120</v>
      </c>
      <c r="P585" s="6">
        <f>Table1[[#This Row],[Unit_Cost]]*Table1[[#This Row],[Order_Quantity]]</f>
        <v>713</v>
      </c>
      <c r="Q585" s="4">
        <f>Table1[[#This Row],[total sales]]-Table1[[#This Row],[total cost]]</f>
        <v>407</v>
      </c>
      <c r="R585" s="6" t="s">
        <v>136</v>
      </c>
      <c r="S585" s="6" t="str">
        <f>_xlfn.CONCAT(Table1[[#This Row],[Sub_Category]],"-",Table1[[#This Row],[bike colour]])</f>
        <v>Road Bikes-yellow</v>
      </c>
    </row>
    <row r="586" spans="1:19" x14ac:dyDescent="0.3">
      <c r="A586" s="1">
        <v>44545</v>
      </c>
      <c r="B586">
        <v>15</v>
      </c>
      <c r="C586" t="s">
        <v>106</v>
      </c>
      <c r="D586">
        <v>2021</v>
      </c>
      <c r="E586">
        <v>23</v>
      </c>
      <c r="F586" t="s">
        <v>49</v>
      </c>
      <c r="G586" t="s">
        <v>122</v>
      </c>
      <c r="H586" t="s">
        <v>23</v>
      </c>
      <c r="I586" t="s">
        <v>24</v>
      </c>
      <c r="J586" t="s">
        <v>17</v>
      </c>
      <c r="K586" t="s">
        <v>38</v>
      </c>
      <c r="L586">
        <v>4</v>
      </c>
      <c r="M586" s="6">
        <v>713</v>
      </c>
      <c r="N586" s="6">
        <v>1120</v>
      </c>
      <c r="O586" s="6">
        <f>Table1[[#This Row],[Unit_Price]]*Table1[[#This Row],[Order_Quantity]]</f>
        <v>4480</v>
      </c>
      <c r="P586" s="6">
        <f>Table1[[#This Row],[Unit_Cost]]*Table1[[#This Row],[Order_Quantity]]</f>
        <v>2852</v>
      </c>
      <c r="Q586" s="4">
        <f>Table1[[#This Row],[total sales]]-Table1[[#This Row],[total cost]]</f>
        <v>1628</v>
      </c>
      <c r="R586" s="6" t="s">
        <v>137</v>
      </c>
      <c r="S586" s="6" t="str">
        <f>_xlfn.CONCAT(Table1[[#This Row],[Sub_Category]],"-",Table1[[#This Row],[bike colour]])</f>
        <v>Road Bikes-red</v>
      </c>
    </row>
    <row r="587" spans="1:19" x14ac:dyDescent="0.3">
      <c r="A587" s="1">
        <v>44545</v>
      </c>
      <c r="B587">
        <v>15</v>
      </c>
      <c r="C587" t="s">
        <v>106</v>
      </c>
      <c r="D587">
        <v>2021</v>
      </c>
      <c r="E587">
        <v>28</v>
      </c>
      <c r="F587" t="s">
        <v>19</v>
      </c>
      <c r="G587" t="s">
        <v>120</v>
      </c>
      <c r="H587" t="s">
        <v>27</v>
      </c>
      <c r="I587" t="s">
        <v>33</v>
      </c>
      <c r="J587" t="s">
        <v>17</v>
      </c>
      <c r="K587" t="s">
        <v>57</v>
      </c>
      <c r="L587">
        <v>4</v>
      </c>
      <c r="M587" s="6">
        <v>713</v>
      </c>
      <c r="N587" s="6">
        <v>1120</v>
      </c>
      <c r="O587" s="6">
        <f>Table1[[#This Row],[Unit_Price]]*Table1[[#This Row],[Order_Quantity]]</f>
        <v>4480</v>
      </c>
      <c r="P587" s="6">
        <f>Table1[[#This Row],[Unit_Cost]]*Table1[[#This Row],[Order_Quantity]]</f>
        <v>2852</v>
      </c>
      <c r="Q587" s="4">
        <f>Table1[[#This Row],[total sales]]-Table1[[#This Row],[total cost]]</f>
        <v>1628</v>
      </c>
      <c r="R587" s="6" t="s">
        <v>138</v>
      </c>
      <c r="S587" s="6" t="str">
        <f>_xlfn.CONCAT(Table1[[#This Row],[Sub_Category]],"-",Table1[[#This Row],[bike colour]])</f>
        <v>Road Bikes-black</v>
      </c>
    </row>
    <row r="588" spans="1:19" x14ac:dyDescent="0.3">
      <c r="A588" s="1">
        <v>44545</v>
      </c>
      <c r="B588">
        <v>15</v>
      </c>
      <c r="C588" t="s">
        <v>106</v>
      </c>
      <c r="D588">
        <v>2021</v>
      </c>
      <c r="E588">
        <v>36</v>
      </c>
      <c r="F588" t="s">
        <v>14</v>
      </c>
      <c r="G588" t="s">
        <v>122</v>
      </c>
      <c r="H588" t="s">
        <v>42</v>
      </c>
      <c r="I588" t="s">
        <v>68</v>
      </c>
      <c r="J588" t="s">
        <v>17</v>
      </c>
      <c r="K588" t="s">
        <v>64</v>
      </c>
      <c r="L588">
        <v>3</v>
      </c>
      <c r="M588" s="6">
        <v>713</v>
      </c>
      <c r="N588" s="6">
        <v>1120</v>
      </c>
      <c r="O588" s="6">
        <f>Table1[[#This Row],[Unit_Price]]*Table1[[#This Row],[Order_Quantity]]</f>
        <v>3360</v>
      </c>
      <c r="P588" s="6">
        <f>Table1[[#This Row],[Unit_Cost]]*Table1[[#This Row],[Order_Quantity]]</f>
        <v>2139</v>
      </c>
      <c r="Q588" s="4">
        <f>Table1[[#This Row],[total sales]]-Table1[[#This Row],[total cost]]</f>
        <v>1221</v>
      </c>
      <c r="R588" s="6" t="s">
        <v>136</v>
      </c>
      <c r="S588" s="6" t="str">
        <f>_xlfn.CONCAT(Table1[[#This Row],[Sub_Category]],"-",Table1[[#This Row],[bike colour]])</f>
        <v>Road Bikes-yellow</v>
      </c>
    </row>
    <row r="589" spans="1:19" x14ac:dyDescent="0.3">
      <c r="A589" s="1">
        <v>44545</v>
      </c>
      <c r="B589">
        <v>15</v>
      </c>
      <c r="C589" t="s">
        <v>106</v>
      </c>
      <c r="D589">
        <v>2021</v>
      </c>
      <c r="E589">
        <v>47</v>
      </c>
      <c r="F589" t="s">
        <v>14</v>
      </c>
      <c r="G589" t="s">
        <v>122</v>
      </c>
      <c r="H589" t="s">
        <v>23</v>
      </c>
      <c r="I589" t="s">
        <v>24</v>
      </c>
      <c r="J589" t="s">
        <v>17</v>
      </c>
      <c r="K589" t="s">
        <v>108</v>
      </c>
      <c r="L589">
        <v>2</v>
      </c>
      <c r="M589" s="6">
        <v>713</v>
      </c>
      <c r="N589" s="6">
        <v>1120</v>
      </c>
      <c r="O589" s="6">
        <f>Table1[[#This Row],[Unit_Price]]*Table1[[#This Row],[Order_Quantity]]</f>
        <v>2240</v>
      </c>
      <c r="P589" s="6">
        <f>Table1[[#This Row],[Unit_Cost]]*Table1[[#This Row],[Order_Quantity]]</f>
        <v>1426</v>
      </c>
      <c r="Q589" s="4">
        <f>Table1[[#This Row],[total sales]]-Table1[[#This Row],[total cost]]</f>
        <v>814</v>
      </c>
      <c r="R589" s="6" t="s">
        <v>138</v>
      </c>
      <c r="S589" s="6" t="str">
        <f>_xlfn.CONCAT(Table1[[#This Row],[Sub_Category]],"-",Table1[[#This Row],[bike colour]])</f>
        <v>Road Bikes-black</v>
      </c>
    </row>
    <row r="590" spans="1:19" x14ac:dyDescent="0.3">
      <c r="A590" s="1">
        <v>44545</v>
      </c>
      <c r="B590">
        <v>15</v>
      </c>
      <c r="C590" t="s">
        <v>106</v>
      </c>
      <c r="D590">
        <v>2021</v>
      </c>
      <c r="E590">
        <v>29</v>
      </c>
      <c r="F590" t="s">
        <v>19</v>
      </c>
      <c r="G590" t="s">
        <v>120</v>
      </c>
      <c r="H590" t="s">
        <v>15</v>
      </c>
      <c r="I590" t="s">
        <v>16</v>
      </c>
      <c r="J590" t="s">
        <v>25</v>
      </c>
      <c r="K590" t="s">
        <v>56</v>
      </c>
      <c r="L590">
        <v>1</v>
      </c>
      <c r="M590" s="6">
        <v>713</v>
      </c>
      <c r="N590" s="6">
        <v>1120</v>
      </c>
      <c r="O590" s="6">
        <f>Table1[[#This Row],[Unit_Price]]*Table1[[#This Row],[Order_Quantity]]</f>
        <v>1120</v>
      </c>
      <c r="P590" s="6">
        <f>Table1[[#This Row],[Unit_Cost]]*Table1[[#This Row],[Order_Quantity]]</f>
        <v>713</v>
      </c>
      <c r="Q590" s="4">
        <f>Table1[[#This Row],[total sales]]-Table1[[#This Row],[total cost]]</f>
        <v>407</v>
      </c>
      <c r="R590" s="6" t="s">
        <v>139</v>
      </c>
      <c r="S590" s="6" t="str">
        <f>_xlfn.CONCAT(Table1[[#This Row],[Sub_Category]],"-",Table1[[#This Row],[bike colour]])</f>
        <v>Mountain Bikes-silver</v>
      </c>
    </row>
    <row r="591" spans="1:19" x14ac:dyDescent="0.3">
      <c r="A591" s="1">
        <v>44546</v>
      </c>
      <c r="B591">
        <v>16</v>
      </c>
      <c r="C591" t="s">
        <v>106</v>
      </c>
      <c r="D591">
        <v>2021</v>
      </c>
      <c r="E591">
        <v>48</v>
      </c>
      <c r="F591" t="s">
        <v>14</v>
      </c>
      <c r="G591" t="s">
        <v>120</v>
      </c>
      <c r="H591" t="s">
        <v>20</v>
      </c>
      <c r="I591" t="s">
        <v>21</v>
      </c>
      <c r="J591" t="s">
        <v>17</v>
      </c>
      <c r="K591" t="s">
        <v>73</v>
      </c>
      <c r="L591">
        <v>4</v>
      </c>
      <c r="M591" s="6">
        <v>713</v>
      </c>
      <c r="N591" s="6">
        <v>1120</v>
      </c>
      <c r="O591" s="6">
        <f>Table1[[#This Row],[Unit_Price]]*Table1[[#This Row],[Order_Quantity]]</f>
        <v>4480</v>
      </c>
      <c r="P591" s="6">
        <f>Table1[[#This Row],[Unit_Cost]]*Table1[[#This Row],[Order_Quantity]]</f>
        <v>2852</v>
      </c>
      <c r="Q591" s="4">
        <f>Table1[[#This Row],[total sales]]-Table1[[#This Row],[total cost]]</f>
        <v>1628</v>
      </c>
      <c r="R591" s="6" t="s">
        <v>138</v>
      </c>
      <c r="S591" s="6" t="str">
        <f>_xlfn.CONCAT(Table1[[#This Row],[Sub_Category]],"-",Table1[[#This Row],[bike colour]])</f>
        <v>Road Bikes-black</v>
      </c>
    </row>
    <row r="592" spans="1:19" x14ac:dyDescent="0.3">
      <c r="A592" s="1">
        <v>44546</v>
      </c>
      <c r="B592">
        <v>16</v>
      </c>
      <c r="C592" t="s">
        <v>106</v>
      </c>
      <c r="D592">
        <v>2021</v>
      </c>
      <c r="E592">
        <v>26</v>
      </c>
      <c r="F592" t="s">
        <v>19</v>
      </c>
      <c r="G592" t="s">
        <v>120</v>
      </c>
      <c r="H592" t="s">
        <v>42</v>
      </c>
      <c r="I592" t="s">
        <v>86</v>
      </c>
      <c r="J592" t="s">
        <v>17</v>
      </c>
      <c r="K592" t="s">
        <v>46</v>
      </c>
      <c r="L592">
        <v>3</v>
      </c>
      <c r="M592" s="6">
        <v>713</v>
      </c>
      <c r="N592" s="6">
        <v>1120</v>
      </c>
      <c r="O592" s="6">
        <f>Table1[[#This Row],[Unit_Price]]*Table1[[#This Row],[Order_Quantity]]</f>
        <v>3360</v>
      </c>
      <c r="P592" s="6">
        <f>Table1[[#This Row],[Unit_Cost]]*Table1[[#This Row],[Order_Quantity]]</f>
        <v>2139</v>
      </c>
      <c r="Q592" s="4">
        <f>Table1[[#This Row],[total sales]]-Table1[[#This Row],[total cost]]</f>
        <v>1221</v>
      </c>
      <c r="R592" s="6" t="s">
        <v>137</v>
      </c>
      <c r="S592" s="6" t="str">
        <f>_xlfn.CONCAT(Table1[[#This Row],[Sub_Category]],"-",Table1[[#This Row],[bike colour]])</f>
        <v>Road Bikes-red</v>
      </c>
    </row>
    <row r="593" spans="1:19" x14ac:dyDescent="0.3">
      <c r="A593" s="1">
        <v>44546</v>
      </c>
      <c r="B593">
        <v>16</v>
      </c>
      <c r="C593" t="s">
        <v>106</v>
      </c>
      <c r="D593">
        <v>2021</v>
      </c>
      <c r="E593">
        <v>29</v>
      </c>
      <c r="F593" t="s">
        <v>19</v>
      </c>
      <c r="G593" t="s">
        <v>122</v>
      </c>
      <c r="H593" t="s">
        <v>15</v>
      </c>
      <c r="I593" t="s">
        <v>82</v>
      </c>
      <c r="J593" t="s">
        <v>17</v>
      </c>
      <c r="K593" t="s">
        <v>103</v>
      </c>
      <c r="L593">
        <v>2</v>
      </c>
      <c r="M593" s="6">
        <v>713</v>
      </c>
      <c r="N593" s="6">
        <v>1120</v>
      </c>
      <c r="O593" s="6">
        <f>Table1[[#This Row],[Unit_Price]]*Table1[[#This Row],[Order_Quantity]]</f>
        <v>2240</v>
      </c>
      <c r="P593" s="6">
        <f>Table1[[#This Row],[Unit_Cost]]*Table1[[#This Row],[Order_Quantity]]</f>
        <v>1426</v>
      </c>
      <c r="Q593" s="4">
        <f>Table1[[#This Row],[total sales]]-Table1[[#This Row],[total cost]]</f>
        <v>814</v>
      </c>
      <c r="R593" s="6" t="s">
        <v>138</v>
      </c>
      <c r="S593" s="6" t="str">
        <f>_xlfn.CONCAT(Table1[[#This Row],[Sub_Category]],"-",Table1[[#This Row],[bike colour]])</f>
        <v>Road Bikes-black</v>
      </c>
    </row>
    <row r="594" spans="1:19" x14ac:dyDescent="0.3">
      <c r="A594" s="1">
        <v>44546</v>
      </c>
      <c r="B594">
        <v>16</v>
      </c>
      <c r="C594" t="s">
        <v>106</v>
      </c>
      <c r="D594">
        <v>2021</v>
      </c>
      <c r="E594">
        <v>33</v>
      </c>
      <c r="F594" t="s">
        <v>19</v>
      </c>
      <c r="G594" t="s">
        <v>120</v>
      </c>
      <c r="H594" t="s">
        <v>27</v>
      </c>
      <c r="I594" t="s">
        <v>33</v>
      </c>
      <c r="J594" t="s">
        <v>25</v>
      </c>
      <c r="K594" t="s">
        <v>26</v>
      </c>
      <c r="L594">
        <v>2</v>
      </c>
      <c r="M594" s="6">
        <v>713</v>
      </c>
      <c r="N594" s="6">
        <v>1120</v>
      </c>
      <c r="O594" s="6">
        <f>Table1[[#This Row],[Unit_Price]]*Table1[[#This Row],[Order_Quantity]]</f>
        <v>2240</v>
      </c>
      <c r="P594" s="6">
        <f>Table1[[#This Row],[Unit_Cost]]*Table1[[#This Row],[Order_Quantity]]</f>
        <v>1426</v>
      </c>
      <c r="Q594" s="4">
        <f>Table1[[#This Row],[total sales]]-Table1[[#This Row],[total cost]]</f>
        <v>814</v>
      </c>
      <c r="R594" s="6" t="s">
        <v>138</v>
      </c>
      <c r="S594" s="6" t="str">
        <f>_xlfn.CONCAT(Table1[[#This Row],[Sub_Category]],"-",Table1[[#This Row],[bike colour]])</f>
        <v>Mountain Bikes-black</v>
      </c>
    </row>
    <row r="595" spans="1:19" x14ac:dyDescent="0.3">
      <c r="A595" s="1">
        <v>44546</v>
      </c>
      <c r="B595">
        <v>16</v>
      </c>
      <c r="C595" t="s">
        <v>106</v>
      </c>
      <c r="D595">
        <v>2021</v>
      </c>
      <c r="E595">
        <v>38</v>
      </c>
      <c r="F595" t="s">
        <v>14</v>
      </c>
      <c r="G595" t="s">
        <v>122</v>
      </c>
      <c r="H595" t="s">
        <v>27</v>
      </c>
      <c r="I595" t="s">
        <v>33</v>
      </c>
      <c r="J595" t="s">
        <v>25</v>
      </c>
      <c r="K595" t="s">
        <v>26</v>
      </c>
      <c r="L595">
        <v>2</v>
      </c>
      <c r="M595" s="6">
        <v>713</v>
      </c>
      <c r="N595" s="6">
        <v>1120</v>
      </c>
      <c r="O595" s="6">
        <f>Table1[[#This Row],[Unit_Price]]*Table1[[#This Row],[Order_Quantity]]</f>
        <v>2240</v>
      </c>
      <c r="P595" s="6">
        <f>Table1[[#This Row],[Unit_Cost]]*Table1[[#This Row],[Order_Quantity]]</f>
        <v>1426</v>
      </c>
      <c r="Q595" s="4">
        <f>Table1[[#This Row],[total sales]]-Table1[[#This Row],[total cost]]</f>
        <v>814</v>
      </c>
      <c r="R595" s="6" t="s">
        <v>138</v>
      </c>
      <c r="S595" s="6" t="str">
        <f>_xlfn.CONCAT(Table1[[#This Row],[Sub_Category]],"-",Table1[[#This Row],[bike colour]])</f>
        <v>Mountain Bikes-black</v>
      </c>
    </row>
    <row r="596" spans="1:19" x14ac:dyDescent="0.3">
      <c r="A596" s="1">
        <v>44546</v>
      </c>
      <c r="B596">
        <v>16</v>
      </c>
      <c r="C596" t="s">
        <v>106</v>
      </c>
      <c r="D596">
        <v>2021</v>
      </c>
      <c r="E596">
        <v>18</v>
      </c>
      <c r="F596" t="s">
        <v>49</v>
      </c>
      <c r="G596" t="s">
        <v>120</v>
      </c>
      <c r="H596" t="s">
        <v>15</v>
      </c>
      <c r="I596" t="s">
        <v>82</v>
      </c>
      <c r="J596" t="s">
        <v>17</v>
      </c>
      <c r="K596" t="s">
        <v>99</v>
      </c>
      <c r="L596">
        <v>1</v>
      </c>
      <c r="M596" s="6">
        <v>713</v>
      </c>
      <c r="N596" s="6">
        <v>1120</v>
      </c>
      <c r="O596" s="6">
        <f>Table1[[#This Row],[Unit_Price]]*Table1[[#This Row],[Order_Quantity]]</f>
        <v>1120</v>
      </c>
      <c r="P596" s="6">
        <f>Table1[[#This Row],[Unit_Cost]]*Table1[[#This Row],[Order_Quantity]]</f>
        <v>713</v>
      </c>
      <c r="Q596" s="4">
        <f>Table1[[#This Row],[total sales]]-Table1[[#This Row],[total cost]]</f>
        <v>407</v>
      </c>
      <c r="R596" s="6" t="s">
        <v>137</v>
      </c>
      <c r="S596" s="6" t="str">
        <f>_xlfn.CONCAT(Table1[[#This Row],[Sub_Category]],"-",Table1[[#This Row],[bike colour]])</f>
        <v>Road Bikes-red</v>
      </c>
    </row>
    <row r="597" spans="1:19" x14ac:dyDescent="0.3">
      <c r="A597" s="1">
        <v>44546</v>
      </c>
      <c r="B597">
        <v>16</v>
      </c>
      <c r="C597" t="s">
        <v>106</v>
      </c>
      <c r="D597">
        <v>2021</v>
      </c>
      <c r="E597">
        <v>27</v>
      </c>
      <c r="F597" t="s">
        <v>19</v>
      </c>
      <c r="G597" t="s">
        <v>120</v>
      </c>
      <c r="H597" t="s">
        <v>50</v>
      </c>
      <c r="I597" t="s">
        <v>101</v>
      </c>
      <c r="J597" t="s">
        <v>25</v>
      </c>
      <c r="K597" t="s">
        <v>62</v>
      </c>
      <c r="L597">
        <v>1</v>
      </c>
      <c r="M597" s="6">
        <v>713</v>
      </c>
      <c r="N597" s="6">
        <v>1120</v>
      </c>
      <c r="O597" s="6">
        <f>Table1[[#This Row],[Unit_Price]]*Table1[[#This Row],[Order_Quantity]]</f>
        <v>1120</v>
      </c>
      <c r="P597" s="6">
        <f>Table1[[#This Row],[Unit_Cost]]*Table1[[#This Row],[Order_Quantity]]</f>
        <v>713</v>
      </c>
      <c r="Q597" s="4">
        <f>Table1[[#This Row],[total sales]]-Table1[[#This Row],[total cost]]</f>
        <v>407</v>
      </c>
      <c r="R597" s="6" t="s">
        <v>139</v>
      </c>
      <c r="S597" s="6" t="str">
        <f>_xlfn.CONCAT(Table1[[#This Row],[Sub_Category]],"-",Table1[[#This Row],[bike colour]])</f>
        <v>Mountain Bikes-silver</v>
      </c>
    </row>
    <row r="598" spans="1:19" x14ac:dyDescent="0.3">
      <c r="A598" s="1">
        <v>44546</v>
      </c>
      <c r="B598">
        <v>16</v>
      </c>
      <c r="C598" t="s">
        <v>106</v>
      </c>
      <c r="D598">
        <v>2021</v>
      </c>
      <c r="E598">
        <v>28</v>
      </c>
      <c r="F598" t="s">
        <v>19</v>
      </c>
      <c r="G598" t="s">
        <v>122</v>
      </c>
      <c r="H598" t="s">
        <v>50</v>
      </c>
      <c r="I598" t="s">
        <v>94</v>
      </c>
      <c r="J598" t="s">
        <v>17</v>
      </c>
      <c r="K598" t="s">
        <v>91</v>
      </c>
      <c r="L598">
        <v>1</v>
      </c>
      <c r="M598" s="6">
        <v>713</v>
      </c>
      <c r="N598" s="6">
        <v>1120</v>
      </c>
      <c r="O598" s="6">
        <f>Table1[[#This Row],[Unit_Price]]*Table1[[#This Row],[Order_Quantity]]</f>
        <v>1120</v>
      </c>
      <c r="P598" s="6">
        <f>Table1[[#This Row],[Unit_Cost]]*Table1[[#This Row],[Order_Quantity]]</f>
        <v>713</v>
      </c>
      <c r="Q598" s="4">
        <f>Table1[[#This Row],[total sales]]-Table1[[#This Row],[total cost]]</f>
        <v>407</v>
      </c>
      <c r="R598" s="6" t="s">
        <v>136</v>
      </c>
      <c r="S598" s="6" t="str">
        <f>_xlfn.CONCAT(Table1[[#This Row],[Sub_Category]],"-",Table1[[#This Row],[bike colour]])</f>
        <v>Road Bikes-yellow</v>
      </c>
    </row>
    <row r="599" spans="1:19" x14ac:dyDescent="0.3">
      <c r="A599" s="1">
        <v>44546</v>
      </c>
      <c r="B599">
        <v>16</v>
      </c>
      <c r="C599" t="s">
        <v>106</v>
      </c>
      <c r="D599">
        <v>2021</v>
      </c>
      <c r="E599">
        <v>32</v>
      </c>
      <c r="F599" t="s">
        <v>19</v>
      </c>
      <c r="G599" t="s">
        <v>122</v>
      </c>
      <c r="H599" t="s">
        <v>50</v>
      </c>
      <c r="I599" t="s">
        <v>94</v>
      </c>
      <c r="J599" t="s">
        <v>17</v>
      </c>
      <c r="K599" t="s">
        <v>54</v>
      </c>
      <c r="L599">
        <v>1</v>
      </c>
      <c r="M599" s="6">
        <v>713</v>
      </c>
      <c r="N599" s="6">
        <v>1120</v>
      </c>
      <c r="O599" s="6">
        <f>Table1[[#This Row],[Unit_Price]]*Table1[[#This Row],[Order_Quantity]]</f>
        <v>1120</v>
      </c>
      <c r="P599" s="6">
        <f>Table1[[#This Row],[Unit_Cost]]*Table1[[#This Row],[Order_Quantity]]</f>
        <v>713</v>
      </c>
      <c r="Q599" s="4">
        <f>Table1[[#This Row],[total sales]]-Table1[[#This Row],[total cost]]</f>
        <v>407</v>
      </c>
      <c r="R599" s="6" t="s">
        <v>137</v>
      </c>
      <c r="S599" s="6" t="str">
        <f>_xlfn.CONCAT(Table1[[#This Row],[Sub_Category]],"-",Table1[[#This Row],[bike colour]])</f>
        <v>Road Bikes-red</v>
      </c>
    </row>
    <row r="600" spans="1:19" x14ac:dyDescent="0.3">
      <c r="A600" s="1">
        <v>44546</v>
      </c>
      <c r="B600">
        <v>16</v>
      </c>
      <c r="C600" t="s">
        <v>106</v>
      </c>
      <c r="D600">
        <v>2021</v>
      </c>
      <c r="E600">
        <v>42</v>
      </c>
      <c r="F600" t="s">
        <v>14</v>
      </c>
      <c r="G600" t="s">
        <v>120</v>
      </c>
      <c r="H600" t="s">
        <v>27</v>
      </c>
      <c r="I600" t="s">
        <v>28</v>
      </c>
      <c r="J600" t="s">
        <v>17</v>
      </c>
      <c r="K600" t="s">
        <v>18</v>
      </c>
      <c r="L600">
        <v>1</v>
      </c>
      <c r="M600" s="6">
        <v>713</v>
      </c>
      <c r="N600" s="6">
        <v>1120</v>
      </c>
      <c r="O600" s="6">
        <f>Table1[[#This Row],[Unit_Price]]*Table1[[#This Row],[Order_Quantity]]</f>
        <v>1120</v>
      </c>
      <c r="P600" s="6">
        <f>Table1[[#This Row],[Unit_Cost]]*Table1[[#This Row],[Order_Quantity]]</f>
        <v>713</v>
      </c>
      <c r="Q600" s="4">
        <f>Table1[[#This Row],[total sales]]-Table1[[#This Row],[total cost]]</f>
        <v>407</v>
      </c>
      <c r="R600" s="6" t="s">
        <v>136</v>
      </c>
      <c r="S600" s="6" t="str">
        <f>_xlfn.CONCAT(Table1[[#This Row],[Sub_Category]],"-",Table1[[#This Row],[bike colour]])</f>
        <v>Road Bikes-yellow</v>
      </c>
    </row>
    <row r="601" spans="1:19" x14ac:dyDescent="0.3">
      <c r="A601" s="1">
        <v>44546</v>
      </c>
      <c r="B601">
        <v>16</v>
      </c>
      <c r="C601" t="s">
        <v>106</v>
      </c>
      <c r="D601">
        <v>2021</v>
      </c>
      <c r="E601">
        <v>43</v>
      </c>
      <c r="F601" t="s">
        <v>14</v>
      </c>
      <c r="G601" t="s">
        <v>122</v>
      </c>
      <c r="H601" t="s">
        <v>15</v>
      </c>
      <c r="I601" t="s">
        <v>16</v>
      </c>
      <c r="J601" t="s">
        <v>17</v>
      </c>
      <c r="K601" t="s">
        <v>54</v>
      </c>
      <c r="L601">
        <v>1</v>
      </c>
      <c r="M601" s="6">
        <v>713</v>
      </c>
      <c r="N601" s="6">
        <v>1120</v>
      </c>
      <c r="O601" s="6">
        <f>Table1[[#This Row],[Unit_Price]]*Table1[[#This Row],[Order_Quantity]]</f>
        <v>1120</v>
      </c>
      <c r="P601" s="6">
        <f>Table1[[#This Row],[Unit_Cost]]*Table1[[#This Row],[Order_Quantity]]</f>
        <v>713</v>
      </c>
      <c r="Q601" s="4">
        <f>Table1[[#This Row],[total sales]]-Table1[[#This Row],[total cost]]</f>
        <v>407</v>
      </c>
      <c r="R601" s="6" t="s">
        <v>137</v>
      </c>
      <c r="S601" s="6" t="str">
        <f>_xlfn.CONCAT(Table1[[#This Row],[Sub_Category]],"-",Table1[[#This Row],[bike colour]])</f>
        <v>Road Bikes-red</v>
      </c>
    </row>
    <row r="602" spans="1:19" x14ac:dyDescent="0.3">
      <c r="A602" s="1">
        <v>44547</v>
      </c>
      <c r="B602">
        <v>17</v>
      </c>
      <c r="C602" t="s">
        <v>106</v>
      </c>
      <c r="D602">
        <v>2021</v>
      </c>
      <c r="E602">
        <v>18</v>
      </c>
      <c r="F602" t="s">
        <v>49</v>
      </c>
      <c r="G602" t="s">
        <v>122</v>
      </c>
      <c r="H602" t="s">
        <v>15</v>
      </c>
      <c r="I602" t="s">
        <v>16</v>
      </c>
      <c r="J602" t="s">
        <v>17</v>
      </c>
      <c r="K602" t="s">
        <v>18</v>
      </c>
      <c r="L602">
        <v>4</v>
      </c>
      <c r="M602" s="6">
        <v>713</v>
      </c>
      <c r="N602" s="6">
        <v>1120</v>
      </c>
      <c r="O602" s="6">
        <f>Table1[[#This Row],[Unit_Price]]*Table1[[#This Row],[Order_Quantity]]</f>
        <v>4480</v>
      </c>
      <c r="P602" s="6">
        <f>Table1[[#This Row],[Unit_Cost]]*Table1[[#This Row],[Order_Quantity]]</f>
        <v>2852</v>
      </c>
      <c r="Q602" s="4">
        <f>Table1[[#This Row],[total sales]]-Table1[[#This Row],[total cost]]</f>
        <v>1628</v>
      </c>
      <c r="R602" s="6" t="s">
        <v>136</v>
      </c>
      <c r="S602" s="6" t="str">
        <f>_xlfn.CONCAT(Table1[[#This Row],[Sub_Category]],"-",Table1[[#This Row],[bike colour]])</f>
        <v>Road Bikes-yellow</v>
      </c>
    </row>
    <row r="603" spans="1:19" x14ac:dyDescent="0.3">
      <c r="A603" s="1">
        <v>44547</v>
      </c>
      <c r="B603">
        <v>17</v>
      </c>
      <c r="C603" t="s">
        <v>106</v>
      </c>
      <c r="D603">
        <v>2021</v>
      </c>
      <c r="E603">
        <v>27</v>
      </c>
      <c r="F603" t="s">
        <v>19</v>
      </c>
      <c r="G603" t="s">
        <v>122</v>
      </c>
      <c r="H603" t="s">
        <v>27</v>
      </c>
      <c r="I603" t="s">
        <v>28</v>
      </c>
      <c r="J603" t="s">
        <v>17</v>
      </c>
      <c r="K603" t="s">
        <v>40</v>
      </c>
      <c r="L603">
        <v>4</v>
      </c>
      <c r="M603" s="6">
        <v>713</v>
      </c>
      <c r="N603" s="6">
        <v>1120</v>
      </c>
      <c r="O603" s="6">
        <f>Table1[[#This Row],[Unit_Price]]*Table1[[#This Row],[Order_Quantity]]</f>
        <v>4480</v>
      </c>
      <c r="P603" s="6">
        <f>Table1[[#This Row],[Unit_Cost]]*Table1[[#This Row],[Order_Quantity]]</f>
        <v>2852</v>
      </c>
      <c r="Q603" s="4">
        <f>Table1[[#This Row],[total sales]]-Table1[[#This Row],[total cost]]</f>
        <v>1628</v>
      </c>
      <c r="R603" s="6" t="s">
        <v>138</v>
      </c>
      <c r="S603" s="6" t="str">
        <f>_xlfn.CONCAT(Table1[[#This Row],[Sub_Category]],"-",Table1[[#This Row],[bike colour]])</f>
        <v>Road Bikes-black</v>
      </c>
    </row>
    <row r="604" spans="1:19" x14ac:dyDescent="0.3">
      <c r="A604" s="1">
        <v>44547</v>
      </c>
      <c r="B604">
        <v>17</v>
      </c>
      <c r="C604" t="s">
        <v>106</v>
      </c>
      <c r="D604">
        <v>2021</v>
      </c>
      <c r="E604">
        <v>36</v>
      </c>
      <c r="F604" t="s">
        <v>14</v>
      </c>
      <c r="G604" t="s">
        <v>120</v>
      </c>
      <c r="H604" t="s">
        <v>27</v>
      </c>
      <c r="I604" t="s">
        <v>33</v>
      </c>
      <c r="J604" t="s">
        <v>17</v>
      </c>
      <c r="K604" t="s">
        <v>29</v>
      </c>
      <c r="L604">
        <v>4</v>
      </c>
      <c r="M604" s="6">
        <v>713</v>
      </c>
      <c r="N604" s="6">
        <v>1120</v>
      </c>
      <c r="O604" s="6">
        <f>Table1[[#This Row],[Unit_Price]]*Table1[[#This Row],[Order_Quantity]]</f>
        <v>4480</v>
      </c>
      <c r="P604" s="6">
        <f>Table1[[#This Row],[Unit_Cost]]*Table1[[#This Row],[Order_Quantity]]</f>
        <v>2852</v>
      </c>
      <c r="Q604" s="4">
        <f>Table1[[#This Row],[total sales]]-Table1[[#This Row],[total cost]]</f>
        <v>1628</v>
      </c>
      <c r="R604" s="6" t="s">
        <v>136</v>
      </c>
      <c r="S604" s="6" t="str">
        <f>_xlfn.CONCAT(Table1[[#This Row],[Sub_Category]],"-",Table1[[#This Row],[bike colour]])</f>
        <v>Road Bikes-yellow</v>
      </c>
    </row>
    <row r="605" spans="1:19" x14ac:dyDescent="0.3">
      <c r="A605" s="1">
        <v>44547</v>
      </c>
      <c r="B605">
        <v>17</v>
      </c>
      <c r="C605" t="s">
        <v>106</v>
      </c>
      <c r="D605">
        <v>2021</v>
      </c>
      <c r="E605">
        <v>42</v>
      </c>
      <c r="F605" t="s">
        <v>14</v>
      </c>
      <c r="G605" t="s">
        <v>120</v>
      </c>
      <c r="H605" t="s">
        <v>27</v>
      </c>
      <c r="I605" t="s">
        <v>45</v>
      </c>
      <c r="J605" t="s">
        <v>17</v>
      </c>
      <c r="K605" t="s">
        <v>41</v>
      </c>
      <c r="L605">
        <v>4</v>
      </c>
      <c r="M605" s="6">
        <v>713</v>
      </c>
      <c r="N605" s="6">
        <v>1120</v>
      </c>
      <c r="O605" s="6">
        <f>Table1[[#This Row],[Unit_Price]]*Table1[[#This Row],[Order_Quantity]]</f>
        <v>4480</v>
      </c>
      <c r="P605" s="6">
        <f>Table1[[#This Row],[Unit_Cost]]*Table1[[#This Row],[Order_Quantity]]</f>
        <v>2852</v>
      </c>
      <c r="Q605" s="4">
        <f>Table1[[#This Row],[total sales]]-Table1[[#This Row],[total cost]]</f>
        <v>1628</v>
      </c>
      <c r="R605" s="6" t="s">
        <v>138</v>
      </c>
      <c r="S605" s="6" t="str">
        <f>_xlfn.CONCAT(Table1[[#This Row],[Sub_Category]],"-",Table1[[#This Row],[bike colour]])</f>
        <v>Road Bikes-black</v>
      </c>
    </row>
    <row r="606" spans="1:19" x14ac:dyDescent="0.3">
      <c r="A606" s="1">
        <v>44547</v>
      </c>
      <c r="B606">
        <v>17</v>
      </c>
      <c r="C606" t="s">
        <v>106</v>
      </c>
      <c r="D606">
        <v>2021</v>
      </c>
      <c r="E606">
        <v>37</v>
      </c>
      <c r="F606" t="s">
        <v>14</v>
      </c>
      <c r="G606" t="s">
        <v>120</v>
      </c>
      <c r="H606" t="s">
        <v>15</v>
      </c>
      <c r="I606" t="s">
        <v>47</v>
      </c>
      <c r="J606" t="s">
        <v>25</v>
      </c>
      <c r="K606" t="s">
        <v>31</v>
      </c>
      <c r="L606">
        <v>2</v>
      </c>
      <c r="M606" s="6">
        <v>713</v>
      </c>
      <c r="N606" s="6">
        <v>1120</v>
      </c>
      <c r="O606" s="6">
        <f>Table1[[#This Row],[Unit_Price]]*Table1[[#This Row],[Order_Quantity]]</f>
        <v>2240</v>
      </c>
      <c r="P606" s="6">
        <f>Table1[[#This Row],[Unit_Cost]]*Table1[[#This Row],[Order_Quantity]]</f>
        <v>1426</v>
      </c>
      <c r="Q606" s="4">
        <f>Table1[[#This Row],[total sales]]-Table1[[#This Row],[total cost]]</f>
        <v>814</v>
      </c>
      <c r="R606" s="6" t="s">
        <v>139</v>
      </c>
      <c r="S606" s="6" t="str">
        <f>_xlfn.CONCAT(Table1[[#This Row],[Sub_Category]],"-",Table1[[#This Row],[bike colour]])</f>
        <v>Mountain Bikes-silver</v>
      </c>
    </row>
    <row r="607" spans="1:19" x14ac:dyDescent="0.3">
      <c r="A607" s="1">
        <v>44547</v>
      </c>
      <c r="B607">
        <v>17</v>
      </c>
      <c r="C607" t="s">
        <v>106</v>
      </c>
      <c r="D607">
        <v>2021</v>
      </c>
      <c r="E607">
        <v>31</v>
      </c>
      <c r="F607" t="s">
        <v>19</v>
      </c>
      <c r="G607" t="s">
        <v>122</v>
      </c>
      <c r="H607" t="s">
        <v>27</v>
      </c>
      <c r="I607" t="s">
        <v>33</v>
      </c>
      <c r="J607" t="s">
        <v>25</v>
      </c>
      <c r="K607" t="s">
        <v>97</v>
      </c>
      <c r="L607">
        <v>1</v>
      </c>
      <c r="M607" s="6">
        <v>713</v>
      </c>
      <c r="N607" s="6">
        <v>1120</v>
      </c>
      <c r="O607" s="6">
        <f>Table1[[#This Row],[Unit_Price]]*Table1[[#This Row],[Order_Quantity]]</f>
        <v>1120</v>
      </c>
      <c r="P607" s="6">
        <f>Table1[[#This Row],[Unit_Cost]]*Table1[[#This Row],[Order_Quantity]]</f>
        <v>713</v>
      </c>
      <c r="Q607" s="4">
        <f>Table1[[#This Row],[total sales]]-Table1[[#This Row],[total cost]]</f>
        <v>407</v>
      </c>
      <c r="R607" s="6" t="s">
        <v>139</v>
      </c>
      <c r="S607" s="6" t="str">
        <f>_xlfn.CONCAT(Table1[[#This Row],[Sub_Category]],"-",Table1[[#This Row],[bike colour]])</f>
        <v>Mountain Bikes-silver</v>
      </c>
    </row>
    <row r="608" spans="1:19" x14ac:dyDescent="0.3">
      <c r="A608" s="1">
        <v>44547</v>
      </c>
      <c r="B608">
        <v>17</v>
      </c>
      <c r="C608" t="s">
        <v>106</v>
      </c>
      <c r="D608">
        <v>2021</v>
      </c>
      <c r="E608">
        <v>40</v>
      </c>
      <c r="F608" t="s">
        <v>14</v>
      </c>
      <c r="G608" t="s">
        <v>120</v>
      </c>
      <c r="H608" t="s">
        <v>15</v>
      </c>
      <c r="I608" t="s">
        <v>16</v>
      </c>
      <c r="J608" t="s">
        <v>17</v>
      </c>
      <c r="K608" t="s">
        <v>52</v>
      </c>
      <c r="L608">
        <v>1</v>
      </c>
      <c r="M608" s="6">
        <v>713</v>
      </c>
      <c r="N608" s="6">
        <v>1120</v>
      </c>
      <c r="O608" s="6">
        <f>Table1[[#This Row],[Unit_Price]]*Table1[[#This Row],[Order_Quantity]]</f>
        <v>1120</v>
      </c>
      <c r="P608" s="6">
        <f>Table1[[#This Row],[Unit_Cost]]*Table1[[#This Row],[Order_Quantity]]</f>
        <v>713</v>
      </c>
      <c r="Q608" s="4">
        <f>Table1[[#This Row],[total sales]]-Table1[[#This Row],[total cost]]</f>
        <v>407</v>
      </c>
      <c r="R608" s="6" t="s">
        <v>138</v>
      </c>
      <c r="S608" s="6" t="str">
        <f>_xlfn.CONCAT(Table1[[#This Row],[Sub_Category]],"-",Table1[[#This Row],[bike colour]])</f>
        <v>Road Bikes-black</v>
      </c>
    </row>
    <row r="609" spans="1:19" x14ac:dyDescent="0.3">
      <c r="A609" s="1">
        <v>44547</v>
      </c>
      <c r="B609">
        <v>17</v>
      </c>
      <c r="C609" t="s">
        <v>106</v>
      </c>
      <c r="D609">
        <v>2021</v>
      </c>
      <c r="E609">
        <v>42</v>
      </c>
      <c r="F609" t="s">
        <v>14</v>
      </c>
      <c r="G609" t="s">
        <v>120</v>
      </c>
      <c r="H609" t="s">
        <v>42</v>
      </c>
      <c r="I609" t="s">
        <v>58</v>
      </c>
      <c r="J609" t="s">
        <v>25</v>
      </c>
      <c r="K609" t="s">
        <v>62</v>
      </c>
      <c r="L609">
        <v>1</v>
      </c>
      <c r="M609" s="6">
        <v>713</v>
      </c>
      <c r="N609" s="6">
        <v>1120</v>
      </c>
      <c r="O609" s="6">
        <f>Table1[[#This Row],[Unit_Price]]*Table1[[#This Row],[Order_Quantity]]</f>
        <v>1120</v>
      </c>
      <c r="P609" s="6">
        <f>Table1[[#This Row],[Unit_Cost]]*Table1[[#This Row],[Order_Quantity]]</f>
        <v>713</v>
      </c>
      <c r="Q609" s="4">
        <f>Table1[[#This Row],[total sales]]-Table1[[#This Row],[total cost]]</f>
        <v>407</v>
      </c>
      <c r="R609" s="6" t="s">
        <v>139</v>
      </c>
      <c r="S609" s="6" t="str">
        <f>_xlfn.CONCAT(Table1[[#This Row],[Sub_Category]],"-",Table1[[#This Row],[bike colour]])</f>
        <v>Mountain Bikes-silver</v>
      </c>
    </row>
    <row r="610" spans="1:19" x14ac:dyDescent="0.3">
      <c r="A610" s="1">
        <v>44547</v>
      </c>
      <c r="B610">
        <v>17</v>
      </c>
      <c r="C610" t="s">
        <v>106</v>
      </c>
      <c r="D610">
        <v>2021</v>
      </c>
      <c r="E610">
        <v>42</v>
      </c>
      <c r="F610" t="s">
        <v>14</v>
      </c>
      <c r="G610" t="s">
        <v>120</v>
      </c>
      <c r="H610" t="s">
        <v>27</v>
      </c>
      <c r="I610" t="s">
        <v>28</v>
      </c>
      <c r="J610" t="s">
        <v>17</v>
      </c>
      <c r="K610" t="s">
        <v>18</v>
      </c>
      <c r="L610">
        <v>1</v>
      </c>
      <c r="M610" s="6">
        <v>713</v>
      </c>
      <c r="N610" s="6">
        <v>1120</v>
      </c>
      <c r="O610" s="6">
        <f>Table1[[#This Row],[Unit_Price]]*Table1[[#This Row],[Order_Quantity]]</f>
        <v>1120</v>
      </c>
      <c r="P610" s="6">
        <f>Table1[[#This Row],[Unit_Cost]]*Table1[[#This Row],[Order_Quantity]]</f>
        <v>713</v>
      </c>
      <c r="Q610" s="4">
        <f>Table1[[#This Row],[total sales]]-Table1[[#This Row],[total cost]]</f>
        <v>407</v>
      </c>
      <c r="R610" s="6" t="s">
        <v>136</v>
      </c>
      <c r="S610" s="6" t="str">
        <f>_xlfn.CONCAT(Table1[[#This Row],[Sub_Category]],"-",Table1[[#This Row],[bike colour]])</f>
        <v>Road Bikes-yellow</v>
      </c>
    </row>
    <row r="611" spans="1:19" x14ac:dyDescent="0.3">
      <c r="A611" s="1">
        <v>44547</v>
      </c>
      <c r="B611">
        <v>17</v>
      </c>
      <c r="C611" t="s">
        <v>106</v>
      </c>
      <c r="D611">
        <v>2021</v>
      </c>
      <c r="E611">
        <v>43</v>
      </c>
      <c r="F611" t="s">
        <v>14</v>
      </c>
      <c r="G611" t="s">
        <v>120</v>
      </c>
      <c r="H611" t="s">
        <v>27</v>
      </c>
      <c r="I611" t="s">
        <v>33</v>
      </c>
      <c r="J611" t="s">
        <v>17</v>
      </c>
      <c r="K611" t="s">
        <v>35</v>
      </c>
      <c r="L611">
        <v>1</v>
      </c>
      <c r="M611" s="6">
        <v>713</v>
      </c>
      <c r="N611" s="6">
        <v>1120</v>
      </c>
      <c r="O611" s="6">
        <f>Table1[[#This Row],[Unit_Price]]*Table1[[#This Row],[Order_Quantity]]</f>
        <v>1120</v>
      </c>
      <c r="P611" s="6">
        <f>Table1[[#This Row],[Unit_Cost]]*Table1[[#This Row],[Order_Quantity]]</f>
        <v>713</v>
      </c>
      <c r="Q611" s="4">
        <f>Table1[[#This Row],[total sales]]-Table1[[#This Row],[total cost]]</f>
        <v>407</v>
      </c>
      <c r="R611" s="6" t="s">
        <v>137</v>
      </c>
      <c r="S611" s="6" t="str">
        <f>_xlfn.CONCAT(Table1[[#This Row],[Sub_Category]],"-",Table1[[#This Row],[bike colour]])</f>
        <v>Road Bikes-red</v>
      </c>
    </row>
    <row r="612" spans="1:19" x14ac:dyDescent="0.3">
      <c r="A612" s="1">
        <v>44547</v>
      </c>
      <c r="B612">
        <v>17</v>
      </c>
      <c r="C612" t="s">
        <v>106</v>
      </c>
      <c r="D612">
        <v>2021</v>
      </c>
      <c r="E612">
        <v>44</v>
      </c>
      <c r="F612" t="s">
        <v>14</v>
      </c>
      <c r="G612" t="s">
        <v>122</v>
      </c>
      <c r="H612" t="s">
        <v>23</v>
      </c>
      <c r="I612" t="s">
        <v>24</v>
      </c>
      <c r="J612" t="s">
        <v>17</v>
      </c>
      <c r="K612" t="s">
        <v>44</v>
      </c>
      <c r="L612">
        <v>1</v>
      </c>
      <c r="M612" s="6">
        <v>713</v>
      </c>
      <c r="N612" s="6">
        <v>1120</v>
      </c>
      <c r="O612" s="6">
        <f>Table1[[#This Row],[Unit_Price]]*Table1[[#This Row],[Order_Quantity]]</f>
        <v>1120</v>
      </c>
      <c r="P612" s="6">
        <f>Table1[[#This Row],[Unit_Cost]]*Table1[[#This Row],[Order_Quantity]]</f>
        <v>713</v>
      </c>
      <c r="Q612" s="4">
        <f>Table1[[#This Row],[total sales]]-Table1[[#This Row],[total cost]]</f>
        <v>407</v>
      </c>
      <c r="R612" s="6" t="s">
        <v>136</v>
      </c>
      <c r="S612" s="6" t="str">
        <f>_xlfn.CONCAT(Table1[[#This Row],[Sub_Category]],"-",Table1[[#This Row],[bike colour]])</f>
        <v>Road Bikes-yellow</v>
      </c>
    </row>
    <row r="613" spans="1:19" x14ac:dyDescent="0.3">
      <c r="A613" s="1">
        <v>44548</v>
      </c>
      <c r="B613">
        <v>18</v>
      </c>
      <c r="C613" t="s">
        <v>106</v>
      </c>
      <c r="D613">
        <v>2021</v>
      </c>
      <c r="E613">
        <v>35</v>
      </c>
      <c r="F613" t="s">
        <v>14</v>
      </c>
      <c r="G613" t="s">
        <v>120</v>
      </c>
      <c r="H613" t="s">
        <v>27</v>
      </c>
      <c r="I613" t="s">
        <v>33</v>
      </c>
      <c r="J613" t="s">
        <v>25</v>
      </c>
      <c r="K613" t="s">
        <v>71</v>
      </c>
      <c r="L613">
        <v>4</v>
      </c>
      <c r="M613" s="6">
        <v>713</v>
      </c>
      <c r="N613" s="6">
        <v>1120</v>
      </c>
      <c r="O613" s="6">
        <f>Table1[[#This Row],[Unit_Price]]*Table1[[#This Row],[Order_Quantity]]</f>
        <v>4480</v>
      </c>
      <c r="P613" s="6">
        <f>Table1[[#This Row],[Unit_Cost]]*Table1[[#This Row],[Order_Quantity]]</f>
        <v>2852</v>
      </c>
      <c r="Q613" s="4">
        <f>Table1[[#This Row],[total sales]]-Table1[[#This Row],[total cost]]</f>
        <v>1628</v>
      </c>
      <c r="R613" s="6" t="s">
        <v>139</v>
      </c>
      <c r="S613" s="6" t="str">
        <f>_xlfn.CONCAT(Table1[[#This Row],[Sub_Category]],"-",Table1[[#This Row],[bike colour]])</f>
        <v>Mountain Bikes-silver</v>
      </c>
    </row>
    <row r="614" spans="1:19" x14ac:dyDescent="0.3">
      <c r="A614" s="1">
        <v>44548</v>
      </c>
      <c r="B614">
        <v>18</v>
      </c>
      <c r="C614" t="s">
        <v>106</v>
      </c>
      <c r="D614">
        <v>2021</v>
      </c>
      <c r="E614">
        <v>38</v>
      </c>
      <c r="F614" t="s">
        <v>14</v>
      </c>
      <c r="G614" t="s">
        <v>120</v>
      </c>
      <c r="H614" t="s">
        <v>42</v>
      </c>
      <c r="I614" t="s">
        <v>58</v>
      </c>
      <c r="J614" t="s">
        <v>25</v>
      </c>
      <c r="K614" t="s">
        <v>62</v>
      </c>
      <c r="L614">
        <v>4</v>
      </c>
      <c r="M614" s="6">
        <v>713</v>
      </c>
      <c r="N614" s="6">
        <v>1120</v>
      </c>
      <c r="O614" s="6">
        <f>Table1[[#This Row],[Unit_Price]]*Table1[[#This Row],[Order_Quantity]]</f>
        <v>4480</v>
      </c>
      <c r="P614" s="6">
        <f>Table1[[#This Row],[Unit_Cost]]*Table1[[#This Row],[Order_Quantity]]</f>
        <v>2852</v>
      </c>
      <c r="Q614" s="4">
        <f>Table1[[#This Row],[total sales]]-Table1[[#This Row],[total cost]]</f>
        <v>1628</v>
      </c>
      <c r="R614" s="6" t="s">
        <v>139</v>
      </c>
      <c r="S614" s="6" t="str">
        <f>_xlfn.CONCAT(Table1[[#This Row],[Sub_Category]],"-",Table1[[#This Row],[bike colour]])</f>
        <v>Mountain Bikes-silver</v>
      </c>
    </row>
    <row r="615" spans="1:19" x14ac:dyDescent="0.3">
      <c r="A615" s="1">
        <v>44548</v>
      </c>
      <c r="B615">
        <v>18</v>
      </c>
      <c r="C615" t="s">
        <v>106</v>
      </c>
      <c r="D615">
        <v>2021</v>
      </c>
      <c r="E615">
        <v>24</v>
      </c>
      <c r="F615" t="s">
        <v>49</v>
      </c>
      <c r="G615" t="s">
        <v>120</v>
      </c>
      <c r="H615" t="s">
        <v>50</v>
      </c>
      <c r="I615" t="s">
        <v>90</v>
      </c>
      <c r="J615" t="s">
        <v>25</v>
      </c>
      <c r="K615" t="s">
        <v>31</v>
      </c>
      <c r="L615">
        <v>3</v>
      </c>
      <c r="M615" s="6">
        <v>713</v>
      </c>
      <c r="N615" s="6">
        <v>1120</v>
      </c>
      <c r="O615" s="6">
        <f>Table1[[#This Row],[Unit_Price]]*Table1[[#This Row],[Order_Quantity]]</f>
        <v>3360</v>
      </c>
      <c r="P615" s="6">
        <f>Table1[[#This Row],[Unit_Cost]]*Table1[[#This Row],[Order_Quantity]]</f>
        <v>2139</v>
      </c>
      <c r="Q615" s="4">
        <f>Table1[[#This Row],[total sales]]-Table1[[#This Row],[total cost]]</f>
        <v>1221</v>
      </c>
      <c r="R615" s="6" t="s">
        <v>139</v>
      </c>
      <c r="S615" s="6" t="str">
        <f>_xlfn.CONCAT(Table1[[#This Row],[Sub_Category]],"-",Table1[[#This Row],[bike colour]])</f>
        <v>Mountain Bikes-silver</v>
      </c>
    </row>
    <row r="616" spans="1:19" x14ac:dyDescent="0.3">
      <c r="A616" s="1">
        <v>44548</v>
      </c>
      <c r="B616">
        <v>18</v>
      </c>
      <c r="C616" t="s">
        <v>106</v>
      </c>
      <c r="D616">
        <v>2021</v>
      </c>
      <c r="E616">
        <v>26</v>
      </c>
      <c r="F616" t="s">
        <v>19</v>
      </c>
      <c r="G616" t="s">
        <v>120</v>
      </c>
      <c r="H616" t="s">
        <v>23</v>
      </c>
      <c r="I616" t="s">
        <v>24</v>
      </c>
      <c r="J616" t="s">
        <v>25</v>
      </c>
      <c r="K616" t="s">
        <v>97</v>
      </c>
      <c r="L616">
        <v>3</v>
      </c>
      <c r="M616" s="6">
        <v>713</v>
      </c>
      <c r="N616" s="6">
        <v>1120</v>
      </c>
      <c r="O616" s="6">
        <f>Table1[[#This Row],[Unit_Price]]*Table1[[#This Row],[Order_Quantity]]</f>
        <v>3360</v>
      </c>
      <c r="P616" s="6">
        <f>Table1[[#This Row],[Unit_Cost]]*Table1[[#This Row],[Order_Quantity]]</f>
        <v>2139</v>
      </c>
      <c r="Q616" s="4">
        <f>Table1[[#This Row],[total sales]]-Table1[[#This Row],[total cost]]</f>
        <v>1221</v>
      </c>
      <c r="R616" s="6" t="s">
        <v>139</v>
      </c>
      <c r="S616" s="6" t="str">
        <f>_xlfn.CONCAT(Table1[[#This Row],[Sub_Category]],"-",Table1[[#This Row],[bike colour]])</f>
        <v>Mountain Bikes-silver</v>
      </c>
    </row>
    <row r="617" spans="1:19" x14ac:dyDescent="0.3">
      <c r="A617" s="1">
        <v>44548</v>
      </c>
      <c r="B617">
        <v>18</v>
      </c>
      <c r="C617" t="s">
        <v>106</v>
      </c>
      <c r="D617">
        <v>2021</v>
      </c>
      <c r="E617">
        <v>26</v>
      </c>
      <c r="F617" t="s">
        <v>19</v>
      </c>
      <c r="G617" t="s">
        <v>120</v>
      </c>
      <c r="H617" t="s">
        <v>50</v>
      </c>
      <c r="I617" t="s">
        <v>51</v>
      </c>
      <c r="J617" t="s">
        <v>17</v>
      </c>
      <c r="K617" t="s">
        <v>85</v>
      </c>
      <c r="L617">
        <v>3</v>
      </c>
      <c r="M617" s="6">
        <v>713</v>
      </c>
      <c r="N617" s="6">
        <v>1120</v>
      </c>
      <c r="O617" s="6">
        <f>Table1[[#This Row],[Unit_Price]]*Table1[[#This Row],[Order_Quantity]]</f>
        <v>3360</v>
      </c>
      <c r="P617" s="6">
        <f>Table1[[#This Row],[Unit_Cost]]*Table1[[#This Row],[Order_Quantity]]</f>
        <v>2139</v>
      </c>
      <c r="Q617" s="4">
        <f>Table1[[#This Row],[total sales]]-Table1[[#This Row],[total cost]]</f>
        <v>1221</v>
      </c>
      <c r="R617" s="6" t="s">
        <v>137</v>
      </c>
      <c r="S617" s="6" t="str">
        <f>_xlfn.CONCAT(Table1[[#This Row],[Sub_Category]],"-",Table1[[#This Row],[bike colour]])</f>
        <v>Road Bikes-red</v>
      </c>
    </row>
    <row r="618" spans="1:19" x14ac:dyDescent="0.3">
      <c r="A618" s="1">
        <v>44548</v>
      </c>
      <c r="B618">
        <v>18</v>
      </c>
      <c r="C618" t="s">
        <v>106</v>
      </c>
      <c r="D618">
        <v>2021</v>
      </c>
      <c r="E618">
        <v>39</v>
      </c>
      <c r="F618" t="s">
        <v>14</v>
      </c>
      <c r="G618" t="s">
        <v>122</v>
      </c>
      <c r="H618" t="s">
        <v>15</v>
      </c>
      <c r="I618" t="s">
        <v>16</v>
      </c>
      <c r="J618" t="s">
        <v>25</v>
      </c>
      <c r="K618" t="s">
        <v>34</v>
      </c>
      <c r="L618">
        <v>3</v>
      </c>
      <c r="M618" s="6">
        <v>713</v>
      </c>
      <c r="N618" s="6">
        <v>1120</v>
      </c>
      <c r="O618" s="6">
        <f>Table1[[#This Row],[Unit_Price]]*Table1[[#This Row],[Order_Quantity]]</f>
        <v>3360</v>
      </c>
      <c r="P618" s="6">
        <f>Table1[[#This Row],[Unit_Cost]]*Table1[[#This Row],[Order_Quantity]]</f>
        <v>2139</v>
      </c>
      <c r="Q618" s="4">
        <f>Table1[[#This Row],[total sales]]-Table1[[#This Row],[total cost]]</f>
        <v>1221</v>
      </c>
      <c r="R618" s="6" t="s">
        <v>138</v>
      </c>
      <c r="S618" s="6" t="str">
        <f>_xlfn.CONCAT(Table1[[#This Row],[Sub_Category]],"-",Table1[[#This Row],[bike colour]])</f>
        <v>Mountain Bikes-black</v>
      </c>
    </row>
    <row r="619" spans="1:19" x14ac:dyDescent="0.3">
      <c r="A619" s="1">
        <v>44548</v>
      </c>
      <c r="B619">
        <v>18</v>
      </c>
      <c r="C619" t="s">
        <v>106</v>
      </c>
      <c r="D619">
        <v>2021</v>
      </c>
      <c r="E619">
        <v>47</v>
      </c>
      <c r="F619" t="s">
        <v>14</v>
      </c>
      <c r="G619" t="s">
        <v>122</v>
      </c>
      <c r="H619" t="s">
        <v>27</v>
      </c>
      <c r="I619" t="s">
        <v>45</v>
      </c>
      <c r="J619" t="s">
        <v>17</v>
      </c>
      <c r="K619" t="s">
        <v>41</v>
      </c>
      <c r="L619">
        <v>2</v>
      </c>
      <c r="M619" s="6">
        <v>713</v>
      </c>
      <c r="N619" s="6">
        <v>1120</v>
      </c>
      <c r="O619" s="6">
        <f>Table1[[#This Row],[Unit_Price]]*Table1[[#This Row],[Order_Quantity]]</f>
        <v>2240</v>
      </c>
      <c r="P619" s="6">
        <f>Table1[[#This Row],[Unit_Cost]]*Table1[[#This Row],[Order_Quantity]]</f>
        <v>1426</v>
      </c>
      <c r="Q619" s="4">
        <f>Table1[[#This Row],[total sales]]-Table1[[#This Row],[total cost]]</f>
        <v>814</v>
      </c>
      <c r="R619" s="6" t="s">
        <v>138</v>
      </c>
      <c r="S619" s="6" t="str">
        <f>_xlfn.CONCAT(Table1[[#This Row],[Sub_Category]],"-",Table1[[#This Row],[bike colour]])</f>
        <v>Road Bikes-black</v>
      </c>
    </row>
    <row r="620" spans="1:19" x14ac:dyDescent="0.3">
      <c r="A620" s="1">
        <v>44548</v>
      </c>
      <c r="B620">
        <v>18</v>
      </c>
      <c r="C620" t="s">
        <v>106</v>
      </c>
      <c r="D620">
        <v>2021</v>
      </c>
      <c r="E620">
        <v>26</v>
      </c>
      <c r="F620" t="s">
        <v>19</v>
      </c>
      <c r="G620" t="s">
        <v>122</v>
      </c>
      <c r="H620" t="s">
        <v>50</v>
      </c>
      <c r="I620" t="s">
        <v>94</v>
      </c>
      <c r="J620" t="s">
        <v>25</v>
      </c>
      <c r="K620" t="s">
        <v>61</v>
      </c>
      <c r="L620">
        <v>1</v>
      </c>
      <c r="M620" s="6">
        <v>713</v>
      </c>
      <c r="N620" s="6">
        <v>1120</v>
      </c>
      <c r="O620" s="6">
        <f>Table1[[#This Row],[Unit_Price]]*Table1[[#This Row],[Order_Quantity]]</f>
        <v>1120</v>
      </c>
      <c r="P620" s="6">
        <f>Table1[[#This Row],[Unit_Cost]]*Table1[[#This Row],[Order_Quantity]]</f>
        <v>713</v>
      </c>
      <c r="Q620" s="4">
        <f>Table1[[#This Row],[total sales]]-Table1[[#This Row],[total cost]]</f>
        <v>407</v>
      </c>
      <c r="R620" s="6" t="s">
        <v>138</v>
      </c>
      <c r="S620" s="6" t="str">
        <f>_xlfn.CONCAT(Table1[[#This Row],[Sub_Category]],"-",Table1[[#This Row],[bike colour]])</f>
        <v>Mountain Bikes-black</v>
      </c>
    </row>
    <row r="621" spans="1:19" x14ac:dyDescent="0.3">
      <c r="A621" s="1">
        <v>44548</v>
      </c>
      <c r="B621">
        <v>18</v>
      </c>
      <c r="C621" t="s">
        <v>106</v>
      </c>
      <c r="D621">
        <v>2021</v>
      </c>
      <c r="E621">
        <v>36</v>
      </c>
      <c r="F621" t="s">
        <v>14</v>
      </c>
      <c r="G621" t="s">
        <v>122</v>
      </c>
      <c r="H621" t="s">
        <v>15</v>
      </c>
      <c r="I621" t="s">
        <v>47</v>
      </c>
      <c r="J621" t="s">
        <v>25</v>
      </c>
      <c r="K621" t="s">
        <v>31</v>
      </c>
      <c r="L621">
        <v>1</v>
      </c>
      <c r="M621" s="6">
        <v>713</v>
      </c>
      <c r="N621" s="6">
        <v>1120</v>
      </c>
      <c r="O621" s="6">
        <f>Table1[[#This Row],[Unit_Price]]*Table1[[#This Row],[Order_Quantity]]</f>
        <v>1120</v>
      </c>
      <c r="P621" s="6">
        <f>Table1[[#This Row],[Unit_Cost]]*Table1[[#This Row],[Order_Quantity]]</f>
        <v>713</v>
      </c>
      <c r="Q621" s="4">
        <f>Table1[[#This Row],[total sales]]-Table1[[#This Row],[total cost]]</f>
        <v>407</v>
      </c>
      <c r="R621" s="6" t="s">
        <v>139</v>
      </c>
      <c r="S621" s="6" t="str">
        <f>_xlfn.CONCAT(Table1[[#This Row],[Sub_Category]],"-",Table1[[#This Row],[bike colour]])</f>
        <v>Mountain Bikes-silver</v>
      </c>
    </row>
    <row r="622" spans="1:19" x14ac:dyDescent="0.3">
      <c r="A622" s="1">
        <v>44548</v>
      </c>
      <c r="B622">
        <v>18</v>
      </c>
      <c r="C622" t="s">
        <v>106</v>
      </c>
      <c r="D622">
        <v>2021</v>
      </c>
      <c r="E622">
        <v>45</v>
      </c>
      <c r="F622" t="s">
        <v>14</v>
      </c>
      <c r="G622" t="s">
        <v>120</v>
      </c>
      <c r="H622" t="s">
        <v>27</v>
      </c>
      <c r="I622" t="s">
        <v>33</v>
      </c>
      <c r="J622" t="s">
        <v>17</v>
      </c>
      <c r="K622" t="s">
        <v>18</v>
      </c>
      <c r="L622">
        <v>1</v>
      </c>
      <c r="M622" s="6">
        <v>713</v>
      </c>
      <c r="N622" s="6">
        <v>1120</v>
      </c>
      <c r="O622" s="6">
        <f>Table1[[#This Row],[Unit_Price]]*Table1[[#This Row],[Order_Quantity]]</f>
        <v>1120</v>
      </c>
      <c r="P622" s="6">
        <f>Table1[[#This Row],[Unit_Cost]]*Table1[[#This Row],[Order_Quantity]]</f>
        <v>713</v>
      </c>
      <c r="Q622" s="4">
        <f>Table1[[#This Row],[total sales]]-Table1[[#This Row],[total cost]]</f>
        <v>407</v>
      </c>
      <c r="R622" s="6" t="s">
        <v>136</v>
      </c>
      <c r="S622" s="6" t="str">
        <f>_xlfn.CONCAT(Table1[[#This Row],[Sub_Category]],"-",Table1[[#This Row],[bike colour]])</f>
        <v>Road Bikes-yellow</v>
      </c>
    </row>
    <row r="623" spans="1:19" x14ac:dyDescent="0.3">
      <c r="A623" s="1">
        <v>44549</v>
      </c>
      <c r="B623">
        <v>19</v>
      </c>
      <c r="C623" t="s">
        <v>106</v>
      </c>
      <c r="D623">
        <v>2021</v>
      </c>
      <c r="E623">
        <v>17</v>
      </c>
      <c r="F623" t="s">
        <v>49</v>
      </c>
      <c r="G623" t="s">
        <v>122</v>
      </c>
      <c r="H623" t="s">
        <v>50</v>
      </c>
      <c r="I623" t="s">
        <v>53</v>
      </c>
      <c r="J623" t="s">
        <v>25</v>
      </c>
      <c r="K623" t="s">
        <v>62</v>
      </c>
      <c r="L623">
        <v>4</v>
      </c>
      <c r="M623" s="6">
        <v>713</v>
      </c>
      <c r="N623" s="6">
        <v>1120</v>
      </c>
      <c r="O623" s="6">
        <f>Table1[[#This Row],[Unit_Price]]*Table1[[#This Row],[Order_Quantity]]</f>
        <v>4480</v>
      </c>
      <c r="P623" s="6">
        <f>Table1[[#This Row],[Unit_Cost]]*Table1[[#This Row],[Order_Quantity]]</f>
        <v>2852</v>
      </c>
      <c r="Q623" s="4">
        <f>Table1[[#This Row],[total sales]]-Table1[[#This Row],[total cost]]</f>
        <v>1628</v>
      </c>
      <c r="R623" s="6" t="s">
        <v>139</v>
      </c>
      <c r="S623" s="6" t="str">
        <f>_xlfn.CONCAT(Table1[[#This Row],[Sub_Category]],"-",Table1[[#This Row],[bike colour]])</f>
        <v>Mountain Bikes-silver</v>
      </c>
    </row>
    <row r="624" spans="1:19" x14ac:dyDescent="0.3">
      <c r="A624" s="1">
        <v>44549</v>
      </c>
      <c r="B624">
        <v>19</v>
      </c>
      <c r="C624" t="s">
        <v>106</v>
      </c>
      <c r="D624">
        <v>2021</v>
      </c>
      <c r="E624">
        <v>19</v>
      </c>
      <c r="F624" t="s">
        <v>49</v>
      </c>
      <c r="G624" t="s">
        <v>120</v>
      </c>
      <c r="H624" t="s">
        <v>27</v>
      </c>
      <c r="I624" t="s">
        <v>45</v>
      </c>
      <c r="J624" t="s">
        <v>25</v>
      </c>
      <c r="K624" t="s">
        <v>39</v>
      </c>
      <c r="L624">
        <v>4</v>
      </c>
      <c r="M624" s="6">
        <v>713</v>
      </c>
      <c r="N624" s="6">
        <v>1120</v>
      </c>
      <c r="O624" s="6">
        <f>Table1[[#This Row],[Unit_Price]]*Table1[[#This Row],[Order_Quantity]]</f>
        <v>4480</v>
      </c>
      <c r="P624" s="6">
        <f>Table1[[#This Row],[Unit_Cost]]*Table1[[#This Row],[Order_Quantity]]</f>
        <v>2852</v>
      </c>
      <c r="Q624" s="4">
        <f>Table1[[#This Row],[total sales]]-Table1[[#This Row],[total cost]]</f>
        <v>1628</v>
      </c>
      <c r="R624" s="6" t="s">
        <v>138</v>
      </c>
      <c r="S624" s="6" t="str">
        <f>_xlfn.CONCAT(Table1[[#This Row],[Sub_Category]],"-",Table1[[#This Row],[bike colour]])</f>
        <v>Mountain Bikes-black</v>
      </c>
    </row>
    <row r="625" spans="1:19" x14ac:dyDescent="0.3">
      <c r="A625" s="1">
        <v>44549</v>
      </c>
      <c r="B625">
        <v>19</v>
      </c>
      <c r="C625" t="s">
        <v>106</v>
      </c>
      <c r="D625">
        <v>2021</v>
      </c>
      <c r="E625">
        <v>24</v>
      </c>
      <c r="F625" t="s">
        <v>49</v>
      </c>
      <c r="G625" t="s">
        <v>120</v>
      </c>
      <c r="H625" t="s">
        <v>50</v>
      </c>
      <c r="I625" t="s">
        <v>115</v>
      </c>
      <c r="J625" t="s">
        <v>17</v>
      </c>
      <c r="K625" t="s">
        <v>37</v>
      </c>
      <c r="L625">
        <v>4</v>
      </c>
      <c r="M625" s="6">
        <v>713</v>
      </c>
      <c r="N625" s="6">
        <v>1120</v>
      </c>
      <c r="O625" s="6">
        <f>Table1[[#This Row],[Unit_Price]]*Table1[[#This Row],[Order_Quantity]]</f>
        <v>4480</v>
      </c>
      <c r="P625" s="6">
        <f>Table1[[#This Row],[Unit_Cost]]*Table1[[#This Row],[Order_Quantity]]</f>
        <v>2852</v>
      </c>
      <c r="Q625" s="4">
        <f>Table1[[#This Row],[total sales]]-Table1[[#This Row],[total cost]]</f>
        <v>1628</v>
      </c>
      <c r="R625" s="6" t="s">
        <v>137</v>
      </c>
      <c r="S625" s="6" t="str">
        <f>_xlfn.CONCAT(Table1[[#This Row],[Sub_Category]],"-",Table1[[#This Row],[bike colour]])</f>
        <v>Road Bikes-red</v>
      </c>
    </row>
    <row r="626" spans="1:19" x14ac:dyDescent="0.3">
      <c r="A626" s="1">
        <v>44549</v>
      </c>
      <c r="B626">
        <v>19</v>
      </c>
      <c r="C626" t="s">
        <v>106</v>
      </c>
      <c r="D626">
        <v>2021</v>
      </c>
      <c r="E626">
        <v>25</v>
      </c>
      <c r="F626" t="s">
        <v>19</v>
      </c>
      <c r="G626" t="s">
        <v>122</v>
      </c>
      <c r="H626" t="s">
        <v>50</v>
      </c>
      <c r="I626" t="s">
        <v>94</v>
      </c>
      <c r="J626" t="s">
        <v>25</v>
      </c>
      <c r="K626" t="s">
        <v>26</v>
      </c>
      <c r="L626">
        <v>4</v>
      </c>
      <c r="M626" s="6">
        <v>713</v>
      </c>
      <c r="N626" s="6">
        <v>1120</v>
      </c>
      <c r="O626" s="6">
        <f>Table1[[#This Row],[Unit_Price]]*Table1[[#This Row],[Order_Quantity]]</f>
        <v>4480</v>
      </c>
      <c r="P626" s="6">
        <f>Table1[[#This Row],[Unit_Cost]]*Table1[[#This Row],[Order_Quantity]]</f>
        <v>2852</v>
      </c>
      <c r="Q626" s="4">
        <f>Table1[[#This Row],[total sales]]-Table1[[#This Row],[total cost]]</f>
        <v>1628</v>
      </c>
      <c r="R626" s="6" t="s">
        <v>138</v>
      </c>
      <c r="S626" s="6" t="str">
        <f>_xlfn.CONCAT(Table1[[#This Row],[Sub_Category]],"-",Table1[[#This Row],[bike colour]])</f>
        <v>Mountain Bikes-black</v>
      </c>
    </row>
    <row r="627" spans="1:19" x14ac:dyDescent="0.3">
      <c r="A627" s="1">
        <v>44549</v>
      </c>
      <c r="B627">
        <v>19</v>
      </c>
      <c r="C627" t="s">
        <v>106</v>
      </c>
      <c r="D627">
        <v>2021</v>
      </c>
      <c r="E627">
        <v>35</v>
      </c>
      <c r="F627" t="s">
        <v>14</v>
      </c>
      <c r="G627" t="s">
        <v>120</v>
      </c>
      <c r="H627" t="s">
        <v>15</v>
      </c>
      <c r="I627" t="s">
        <v>82</v>
      </c>
      <c r="J627" t="s">
        <v>25</v>
      </c>
      <c r="K627" t="s">
        <v>48</v>
      </c>
      <c r="L627">
        <v>4</v>
      </c>
      <c r="M627" s="6">
        <v>713</v>
      </c>
      <c r="N627" s="6">
        <v>1120</v>
      </c>
      <c r="O627" s="6">
        <f>Table1[[#This Row],[Unit_Price]]*Table1[[#This Row],[Order_Quantity]]</f>
        <v>4480</v>
      </c>
      <c r="P627" s="6">
        <f>Table1[[#This Row],[Unit_Cost]]*Table1[[#This Row],[Order_Quantity]]</f>
        <v>2852</v>
      </c>
      <c r="Q627" s="4">
        <f>Table1[[#This Row],[total sales]]-Table1[[#This Row],[total cost]]</f>
        <v>1628</v>
      </c>
      <c r="R627" s="6" t="s">
        <v>138</v>
      </c>
      <c r="S627" s="6" t="str">
        <f>_xlfn.CONCAT(Table1[[#This Row],[Sub_Category]],"-",Table1[[#This Row],[bike colour]])</f>
        <v>Mountain Bikes-black</v>
      </c>
    </row>
    <row r="628" spans="1:19" x14ac:dyDescent="0.3">
      <c r="A628" s="1">
        <v>44549</v>
      </c>
      <c r="B628">
        <v>19</v>
      </c>
      <c r="C628" t="s">
        <v>106</v>
      </c>
      <c r="D628">
        <v>2021</v>
      </c>
      <c r="E628">
        <v>37</v>
      </c>
      <c r="F628" t="s">
        <v>14</v>
      </c>
      <c r="G628" t="s">
        <v>122</v>
      </c>
      <c r="H628" t="s">
        <v>15</v>
      </c>
      <c r="I628" t="s">
        <v>82</v>
      </c>
      <c r="J628" t="s">
        <v>25</v>
      </c>
      <c r="K628" t="s">
        <v>26</v>
      </c>
      <c r="L628">
        <v>4</v>
      </c>
      <c r="M628" s="6">
        <v>713</v>
      </c>
      <c r="N628" s="6">
        <v>1120</v>
      </c>
      <c r="O628" s="6">
        <f>Table1[[#This Row],[Unit_Price]]*Table1[[#This Row],[Order_Quantity]]</f>
        <v>4480</v>
      </c>
      <c r="P628" s="6">
        <f>Table1[[#This Row],[Unit_Cost]]*Table1[[#This Row],[Order_Quantity]]</f>
        <v>2852</v>
      </c>
      <c r="Q628" s="4">
        <f>Table1[[#This Row],[total sales]]-Table1[[#This Row],[total cost]]</f>
        <v>1628</v>
      </c>
      <c r="R628" s="6" t="s">
        <v>138</v>
      </c>
      <c r="S628" s="6" t="str">
        <f>_xlfn.CONCAT(Table1[[#This Row],[Sub_Category]],"-",Table1[[#This Row],[bike colour]])</f>
        <v>Mountain Bikes-black</v>
      </c>
    </row>
    <row r="629" spans="1:19" x14ac:dyDescent="0.3">
      <c r="A629" s="1">
        <v>44549</v>
      </c>
      <c r="B629">
        <v>19</v>
      </c>
      <c r="C629" t="s">
        <v>106</v>
      </c>
      <c r="D629">
        <v>2021</v>
      </c>
      <c r="E629">
        <v>39</v>
      </c>
      <c r="F629" t="s">
        <v>14</v>
      </c>
      <c r="G629" t="s">
        <v>120</v>
      </c>
      <c r="H629" t="s">
        <v>15</v>
      </c>
      <c r="I629" t="s">
        <v>16</v>
      </c>
      <c r="J629" t="s">
        <v>25</v>
      </c>
      <c r="K629" t="s">
        <v>61</v>
      </c>
      <c r="L629">
        <v>4</v>
      </c>
      <c r="M629" s="6">
        <v>713</v>
      </c>
      <c r="N629" s="6">
        <v>1120</v>
      </c>
      <c r="O629" s="6">
        <f>Table1[[#This Row],[Unit_Price]]*Table1[[#This Row],[Order_Quantity]]</f>
        <v>4480</v>
      </c>
      <c r="P629" s="6">
        <f>Table1[[#This Row],[Unit_Cost]]*Table1[[#This Row],[Order_Quantity]]</f>
        <v>2852</v>
      </c>
      <c r="Q629" s="4">
        <f>Table1[[#This Row],[total sales]]-Table1[[#This Row],[total cost]]</f>
        <v>1628</v>
      </c>
      <c r="R629" s="6" t="s">
        <v>138</v>
      </c>
      <c r="S629" s="6" t="str">
        <f>_xlfn.CONCAT(Table1[[#This Row],[Sub_Category]],"-",Table1[[#This Row],[bike colour]])</f>
        <v>Mountain Bikes-black</v>
      </c>
    </row>
    <row r="630" spans="1:19" x14ac:dyDescent="0.3">
      <c r="A630" s="1">
        <v>44549</v>
      </c>
      <c r="B630">
        <v>19</v>
      </c>
      <c r="C630" t="s">
        <v>106</v>
      </c>
      <c r="D630">
        <v>2021</v>
      </c>
      <c r="E630">
        <v>63</v>
      </c>
      <c r="F630" t="s">
        <v>14</v>
      </c>
      <c r="G630" t="s">
        <v>120</v>
      </c>
      <c r="H630" t="s">
        <v>27</v>
      </c>
      <c r="I630" t="s">
        <v>28</v>
      </c>
      <c r="J630" t="s">
        <v>25</v>
      </c>
      <c r="K630" t="s">
        <v>61</v>
      </c>
      <c r="L630">
        <v>4</v>
      </c>
      <c r="M630" s="6">
        <v>713</v>
      </c>
      <c r="N630" s="6">
        <v>1120</v>
      </c>
      <c r="O630" s="6">
        <f>Table1[[#This Row],[Unit_Price]]*Table1[[#This Row],[Order_Quantity]]</f>
        <v>4480</v>
      </c>
      <c r="P630" s="6">
        <f>Table1[[#This Row],[Unit_Cost]]*Table1[[#This Row],[Order_Quantity]]</f>
        <v>2852</v>
      </c>
      <c r="Q630" s="4">
        <f>Table1[[#This Row],[total sales]]-Table1[[#This Row],[total cost]]</f>
        <v>1628</v>
      </c>
      <c r="R630" s="6" t="s">
        <v>138</v>
      </c>
      <c r="S630" s="6" t="str">
        <f>_xlfn.CONCAT(Table1[[#This Row],[Sub_Category]],"-",Table1[[#This Row],[bike colour]])</f>
        <v>Mountain Bikes-black</v>
      </c>
    </row>
    <row r="631" spans="1:19" x14ac:dyDescent="0.3">
      <c r="A631" s="1">
        <v>44549</v>
      </c>
      <c r="B631">
        <v>19</v>
      </c>
      <c r="C631" t="s">
        <v>106</v>
      </c>
      <c r="D631">
        <v>2021</v>
      </c>
      <c r="E631">
        <v>50</v>
      </c>
      <c r="F631" t="s">
        <v>14</v>
      </c>
      <c r="G631" t="s">
        <v>120</v>
      </c>
      <c r="H631" t="s">
        <v>42</v>
      </c>
      <c r="I631" t="s">
        <v>58</v>
      </c>
      <c r="J631" t="s">
        <v>17</v>
      </c>
      <c r="K631" t="s">
        <v>81</v>
      </c>
      <c r="L631">
        <v>3</v>
      </c>
      <c r="M631" s="6">
        <v>713</v>
      </c>
      <c r="N631" s="6">
        <v>1120</v>
      </c>
      <c r="O631" s="6">
        <f>Table1[[#This Row],[Unit_Price]]*Table1[[#This Row],[Order_Quantity]]</f>
        <v>3360</v>
      </c>
      <c r="P631" s="6">
        <f>Table1[[#This Row],[Unit_Cost]]*Table1[[#This Row],[Order_Quantity]]</f>
        <v>2139</v>
      </c>
      <c r="Q631" s="4">
        <f>Table1[[#This Row],[total sales]]-Table1[[#This Row],[total cost]]</f>
        <v>1221</v>
      </c>
      <c r="R631" s="6" t="s">
        <v>136</v>
      </c>
      <c r="S631" s="6" t="str">
        <f>_xlfn.CONCAT(Table1[[#This Row],[Sub_Category]],"-",Table1[[#This Row],[bike colour]])</f>
        <v>Road Bikes-yellow</v>
      </c>
    </row>
    <row r="632" spans="1:19" x14ac:dyDescent="0.3">
      <c r="A632" s="1">
        <v>44549</v>
      </c>
      <c r="B632">
        <v>19</v>
      </c>
      <c r="C632" t="s">
        <v>106</v>
      </c>
      <c r="D632">
        <v>2021</v>
      </c>
      <c r="E632">
        <v>18</v>
      </c>
      <c r="F632" t="s">
        <v>49</v>
      </c>
      <c r="G632" t="s">
        <v>122</v>
      </c>
      <c r="H632" t="s">
        <v>27</v>
      </c>
      <c r="I632" t="s">
        <v>30</v>
      </c>
      <c r="J632" t="s">
        <v>25</v>
      </c>
      <c r="K632" t="s">
        <v>113</v>
      </c>
      <c r="L632">
        <v>2</v>
      </c>
      <c r="M632" s="6">
        <v>713</v>
      </c>
      <c r="N632" s="6">
        <v>1120</v>
      </c>
      <c r="O632" s="6">
        <f>Table1[[#This Row],[Unit_Price]]*Table1[[#This Row],[Order_Quantity]]</f>
        <v>2240</v>
      </c>
      <c r="P632" s="6">
        <f>Table1[[#This Row],[Unit_Cost]]*Table1[[#This Row],[Order_Quantity]]</f>
        <v>1426</v>
      </c>
      <c r="Q632" s="4">
        <f>Table1[[#This Row],[total sales]]-Table1[[#This Row],[total cost]]</f>
        <v>814</v>
      </c>
      <c r="R632" s="6" t="s">
        <v>138</v>
      </c>
      <c r="S632" s="6" t="str">
        <f>_xlfn.CONCAT(Table1[[#This Row],[Sub_Category]],"-",Table1[[#This Row],[bike colour]])</f>
        <v>Mountain Bikes-black</v>
      </c>
    </row>
    <row r="633" spans="1:19" x14ac:dyDescent="0.3">
      <c r="A633" s="1">
        <v>44549</v>
      </c>
      <c r="B633">
        <v>19</v>
      </c>
      <c r="C633" t="s">
        <v>106</v>
      </c>
      <c r="D633">
        <v>2021</v>
      </c>
      <c r="E633">
        <v>56</v>
      </c>
      <c r="F633" t="s">
        <v>14</v>
      </c>
      <c r="G633" t="s">
        <v>120</v>
      </c>
      <c r="H633" t="s">
        <v>42</v>
      </c>
      <c r="I633" t="s">
        <v>86</v>
      </c>
      <c r="J633" t="s">
        <v>25</v>
      </c>
      <c r="K633" t="s">
        <v>61</v>
      </c>
      <c r="L633">
        <v>2</v>
      </c>
      <c r="M633" s="6">
        <v>713</v>
      </c>
      <c r="N633" s="6">
        <v>1120</v>
      </c>
      <c r="O633" s="6">
        <f>Table1[[#This Row],[Unit_Price]]*Table1[[#This Row],[Order_Quantity]]</f>
        <v>2240</v>
      </c>
      <c r="P633" s="6">
        <f>Table1[[#This Row],[Unit_Cost]]*Table1[[#This Row],[Order_Quantity]]</f>
        <v>1426</v>
      </c>
      <c r="Q633" s="4">
        <f>Table1[[#This Row],[total sales]]-Table1[[#This Row],[total cost]]</f>
        <v>814</v>
      </c>
      <c r="R633" s="6" t="s">
        <v>138</v>
      </c>
      <c r="S633" s="6" t="str">
        <f>_xlfn.CONCAT(Table1[[#This Row],[Sub_Category]],"-",Table1[[#This Row],[bike colour]])</f>
        <v>Mountain Bikes-black</v>
      </c>
    </row>
    <row r="634" spans="1:19" x14ac:dyDescent="0.3">
      <c r="A634" s="1">
        <v>44549</v>
      </c>
      <c r="B634">
        <v>19</v>
      </c>
      <c r="C634" t="s">
        <v>106</v>
      </c>
      <c r="D634">
        <v>2021</v>
      </c>
      <c r="E634">
        <v>38</v>
      </c>
      <c r="F634" t="s">
        <v>14</v>
      </c>
      <c r="G634" t="s">
        <v>122</v>
      </c>
      <c r="H634" t="s">
        <v>27</v>
      </c>
      <c r="I634" t="s">
        <v>33</v>
      </c>
      <c r="J634" t="s">
        <v>17</v>
      </c>
      <c r="K634" t="s">
        <v>81</v>
      </c>
      <c r="L634">
        <v>1</v>
      </c>
      <c r="M634" s="6">
        <v>713</v>
      </c>
      <c r="N634" s="6">
        <v>1120</v>
      </c>
      <c r="O634" s="6">
        <f>Table1[[#This Row],[Unit_Price]]*Table1[[#This Row],[Order_Quantity]]</f>
        <v>1120</v>
      </c>
      <c r="P634" s="6">
        <f>Table1[[#This Row],[Unit_Cost]]*Table1[[#This Row],[Order_Quantity]]</f>
        <v>713</v>
      </c>
      <c r="Q634" s="4">
        <f>Table1[[#This Row],[total sales]]-Table1[[#This Row],[total cost]]</f>
        <v>407</v>
      </c>
      <c r="R634" s="6" t="s">
        <v>136</v>
      </c>
      <c r="S634" s="6" t="str">
        <f>_xlfn.CONCAT(Table1[[#This Row],[Sub_Category]],"-",Table1[[#This Row],[bike colour]])</f>
        <v>Road Bikes-yellow</v>
      </c>
    </row>
    <row r="635" spans="1:19" x14ac:dyDescent="0.3">
      <c r="A635" s="1">
        <v>44549</v>
      </c>
      <c r="B635">
        <v>19</v>
      </c>
      <c r="C635" t="s">
        <v>106</v>
      </c>
      <c r="D635">
        <v>2021</v>
      </c>
      <c r="E635">
        <v>39</v>
      </c>
      <c r="F635" t="s">
        <v>14</v>
      </c>
      <c r="G635" t="s">
        <v>120</v>
      </c>
      <c r="H635" t="s">
        <v>15</v>
      </c>
      <c r="I635" t="s">
        <v>47</v>
      </c>
      <c r="J635" t="s">
        <v>25</v>
      </c>
      <c r="K635" t="s">
        <v>31</v>
      </c>
      <c r="L635">
        <v>1</v>
      </c>
      <c r="M635" s="6">
        <v>713</v>
      </c>
      <c r="N635" s="6">
        <v>1120</v>
      </c>
      <c r="O635" s="6">
        <f>Table1[[#This Row],[Unit_Price]]*Table1[[#This Row],[Order_Quantity]]</f>
        <v>1120</v>
      </c>
      <c r="P635" s="6">
        <f>Table1[[#This Row],[Unit_Cost]]*Table1[[#This Row],[Order_Quantity]]</f>
        <v>713</v>
      </c>
      <c r="Q635" s="4">
        <f>Table1[[#This Row],[total sales]]-Table1[[#This Row],[total cost]]</f>
        <v>407</v>
      </c>
      <c r="R635" s="6" t="s">
        <v>139</v>
      </c>
      <c r="S635" s="6" t="str">
        <f>_xlfn.CONCAT(Table1[[#This Row],[Sub_Category]],"-",Table1[[#This Row],[bike colour]])</f>
        <v>Mountain Bikes-silver</v>
      </c>
    </row>
    <row r="636" spans="1:19" x14ac:dyDescent="0.3">
      <c r="A636" s="1">
        <v>44549</v>
      </c>
      <c r="B636">
        <v>19</v>
      </c>
      <c r="C636" t="s">
        <v>106</v>
      </c>
      <c r="D636">
        <v>2021</v>
      </c>
      <c r="E636">
        <v>57</v>
      </c>
      <c r="F636" t="s">
        <v>14</v>
      </c>
      <c r="G636" t="s">
        <v>120</v>
      </c>
      <c r="H636" t="s">
        <v>27</v>
      </c>
      <c r="I636" t="s">
        <v>33</v>
      </c>
      <c r="J636" t="s">
        <v>17</v>
      </c>
      <c r="K636" t="s">
        <v>63</v>
      </c>
      <c r="L636">
        <v>1</v>
      </c>
      <c r="M636" s="6">
        <v>713</v>
      </c>
      <c r="N636" s="6">
        <v>1120</v>
      </c>
      <c r="O636" s="6">
        <f>Table1[[#This Row],[Unit_Price]]*Table1[[#This Row],[Order_Quantity]]</f>
        <v>1120</v>
      </c>
      <c r="P636" s="6">
        <f>Table1[[#This Row],[Unit_Cost]]*Table1[[#This Row],[Order_Quantity]]</f>
        <v>713</v>
      </c>
      <c r="Q636" s="4">
        <f>Table1[[#This Row],[total sales]]-Table1[[#This Row],[total cost]]</f>
        <v>407</v>
      </c>
      <c r="R636" s="6" t="s">
        <v>136</v>
      </c>
      <c r="S636" s="6" t="str">
        <f>_xlfn.CONCAT(Table1[[#This Row],[Sub_Category]],"-",Table1[[#This Row],[bike colour]])</f>
        <v>Road Bikes-yellow</v>
      </c>
    </row>
    <row r="637" spans="1:19" x14ac:dyDescent="0.3">
      <c r="A637" s="1">
        <v>44550</v>
      </c>
      <c r="B637">
        <v>20</v>
      </c>
      <c r="C637" t="s">
        <v>106</v>
      </c>
      <c r="D637">
        <v>2021</v>
      </c>
      <c r="E637">
        <v>33</v>
      </c>
      <c r="F637" t="s">
        <v>19</v>
      </c>
      <c r="G637" t="s">
        <v>120</v>
      </c>
      <c r="H637" t="s">
        <v>27</v>
      </c>
      <c r="I637" t="s">
        <v>45</v>
      </c>
      <c r="J637" t="s">
        <v>25</v>
      </c>
      <c r="K637" t="s">
        <v>111</v>
      </c>
      <c r="L637">
        <v>4</v>
      </c>
      <c r="M637" s="6">
        <v>713</v>
      </c>
      <c r="N637" s="6">
        <v>1120</v>
      </c>
      <c r="O637" s="6">
        <f>Table1[[#This Row],[Unit_Price]]*Table1[[#This Row],[Order_Quantity]]</f>
        <v>4480</v>
      </c>
      <c r="P637" s="6">
        <f>Table1[[#This Row],[Unit_Cost]]*Table1[[#This Row],[Order_Quantity]]</f>
        <v>2852</v>
      </c>
      <c r="Q637" s="4">
        <f>Table1[[#This Row],[total sales]]-Table1[[#This Row],[total cost]]</f>
        <v>1628</v>
      </c>
      <c r="R637" s="6" t="s">
        <v>138</v>
      </c>
      <c r="S637" s="6" t="str">
        <f>_xlfn.CONCAT(Table1[[#This Row],[Sub_Category]],"-",Table1[[#This Row],[bike colour]])</f>
        <v>Mountain Bikes-black</v>
      </c>
    </row>
    <row r="638" spans="1:19" x14ac:dyDescent="0.3">
      <c r="A638" s="1">
        <v>44550</v>
      </c>
      <c r="B638">
        <v>20</v>
      </c>
      <c r="C638" t="s">
        <v>106</v>
      </c>
      <c r="D638">
        <v>2021</v>
      </c>
      <c r="E638">
        <v>34</v>
      </c>
      <c r="F638" t="s">
        <v>19</v>
      </c>
      <c r="G638" t="s">
        <v>120</v>
      </c>
      <c r="H638" t="s">
        <v>23</v>
      </c>
      <c r="I638" t="s">
        <v>24</v>
      </c>
      <c r="J638" t="s">
        <v>17</v>
      </c>
      <c r="K638" t="s">
        <v>36</v>
      </c>
      <c r="L638">
        <v>4</v>
      </c>
      <c r="M638" s="6">
        <v>713</v>
      </c>
      <c r="N638" s="6">
        <v>1120</v>
      </c>
      <c r="O638" s="6">
        <f>Table1[[#This Row],[Unit_Price]]*Table1[[#This Row],[Order_Quantity]]</f>
        <v>4480</v>
      </c>
      <c r="P638" s="6">
        <f>Table1[[#This Row],[Unit_Cost]]*Table1[[#This Row],[Order_Quantity]]</f>
        <v>2852</v>
      </c>
      <c r="Q638" s="4">
        <f>Table1[[#This Row],[total sales]]-Table1[[#This Row],[total cost]]</f>
        <v>1628</v>
      </c>
      <c r="R638" s="6" t="s">
        <v>136</v>
      </c>
      <c r="S638" s="6" t="str">
        <f>_xlfn.CONCAT(Table1[[#This Row],[Sub_Category]],"-",Table1[[#This Row],[bike colour]])</f>
        <v>Road Bikes-yellow</v>
      </c>
    </row>
    <row r="639" spans="1:19" x14ac:dyDescent="0.3">
      <c r="A639" s="1">
        <v>44550</v>
      </c>
      <c r="B639">
        <v>20</v>
      </c>
      <c r="C639" t="s">
        <v>106</v>
      </c>
      <c r="D639">
        <v>2021</v>
      </c>
      <c r="E639">
        <v>57</v>
      </c>
      <c r="F639" t="s">
        <v>14</v>
      </c>
      <c r="G639" t="s">
        <v>122</v>
      </c>
      <c r="H639" t="s">
        <v>27</v>
      </c>
      <c r="I639" t="s">
        <v>28</v>
      </c>
      <c r="J639" t="s">
        <v>25</v>
      </c>
      <c r="K639" t="s">
        <v>61</v>
      </c>
      <c r="L639">
        <v>4</v>
      </c>
      <c r="M639" s="6">
        <v>713</v>
      </c>
      <c r="N639" s="6">
        <v>1120</v>
      </c>
      <c r="O639" s="6">
        <f>Table1[[#This Row],[Unit_Price]]*Table1[[#This Row],[Order_Quantity]]</f>
        <v>4480</v>
      </c>
      <c r="P639" s="6">
        <f>Table1[[#This Row],[Unit_Cost]]*Table1[[#This Row],[Order_Quantity]]</f>
        <v>2852</v>
      </c>
      <c r="Q639" s="4">
        <f>Table1[[#This Row],[total sales]]-Table1[[#This Row],[total cost]]</f>
        <v>1628</v>
      </c>
      <c r="R639" s="6" t="s">
        <v>138</v>
      </c>
      <c r="S639" s="6" t="str">
        <f>_xlfn.CONCAT(Table1[[#This Row],[Sub_Category]],"-",Table1[[#This Row],[bike colour]])</f>
        <v>Mountain Bikes-black</v>
      </c>
    </row>
    <row r="640" spans="1:19" x14ac:dyDescent="0.3">
      <c r="A640" s="1">
        <v>44550</v>
      </c>
      <c r="B640">
        <v>20</v>
      </c>
      <c r="C640" t="s">
        <v>106</v>
      </c>
      <c r="D640">
        <v>2021</v>
      </c>
      <c r="E640">
        <v>29</v>
      </c>
      <c r="F640" t="s">
        <v>19</v>
      </c>
      <c r="G640" t="s">
        <v>122</v>
      </c>
      <c r="H640" t="s">
        <v>20</v>
      </c>
      <c r="I640" t="s">
        <v>21</v>
      </c>
      <c r="J640" t="s">
        <v>25</v>
      </c>
      <c r="K640" t="s">
        <v>116</v>
      </c>
      <c r="L640">
        <v>3</v>
      </c>
      <c r="M640" s="6">
        <v>713</v>
      </c>
      <c r="N640" s="6">
        <v>1120</v>
      </c>
      <c r="O640" s="6">
        <f>Table1[[#This Row],[Unit_Price]]*Table1[[#This Row],[Order_Quantity]]</f>
        <v>3360</v>
      </c>
      <c r="P640" s="6">
        <f>Table1[[#This Row],[Unit_Cost]]*Table1[[#This Row],[Order_Quantity]]</f>
        <v>2139</v>
      </c>
      <c r="Q640" s="4">
        <f>Table1[[#This Row],[total sales]]-Table1[[#This Row],[total cost]]</f>
        <v>1221</v>
      </c>
      <c r="R640" s="6" t="s">
        <v>138</v>
      </c>
      <c r="S640" s="6" t="str">
        <f>_xlfn.CONCAT(Table1[[#This Row],[Sub_Category]],"-",Table1[[#This Row],[bike colour]])</f>
        <v>Mountain Bikes-black</v>
      </c>
    </row>
    <row r="641" spans="1:19" x14ac:dyDescent="0.3">
      <c r="A641" s="1">
        <v>44550</v>
      </c>
      <c r="B641">
        <v>20</v>
      </c>
      <c r="C641" t="s">
        <v>106</v>
      </c>
      <c r="D641">
        <v>2021</v>
      </c>
      <c r="E641">
        <v>33</v>
      </c>
      <c r="F641" t="s">
        <v>19</v>
      </c>
      <c r="G641" t="s">
        <v>122</v>
      </c>
      <c r="H641" t="s">
        <v>50</v>
      </c>
      <c r="I641" t="s">
        <v>117</v>
      </c>
      <c r="J641" t="s">
        <v>17</v>
      </c>
      <c r="K641" t="s">
        <v>57</v>
      </c>
      <c r="L641">
        <v>3</v>
      </c>
      <c r="M641" s="6">
        <v>713</v>
      </c>
      <c r="N641" s="6">
        <v>1120</v>
      </c>
      <c r="O641" s="6">
        <f>Table1[[#This Row],[Unit_Price]]*Table1[[#This Row],[Order_Quantity]]</f>
        <v>3360</v>
      </c>
      <c r="P641" s="6">
        <f>Table1[[#This Row],[Unit_Cost]]*Table1[[#This Row],[Order_Quantity]]</f>
        <v>2139</v>
      </c>
      <c r="Q641" s="4">
        <f>Table1[[#This Row],[total sales]]-Table1[[#This Row],[total cost]]</f>
        <v>1221</v>
      </c>
      <c r="R641" s="6" t="s">
        <v>138</v>
      </c>
      <c r="S641" s="6" t="str">
        <f>_xlfn.CONCAT(Table1[[#This Row],[Sub_Category]],"-",Table1[[#This Row],[bike colour]])</f>
        <v>Road Bikes-black</v>
      </c>
    </row>
    <row r="642" spans="1:19" x14ac:dyDescent="0.3">
      <c r="A642" s="1">
        <v>44550</v>
      </c>
      <c r="B642">
        <v>20</v>
      </c>
      <c r="C642" t="s">
        <v>106</v>
      </c>
      <c r="D642">
        <v>2021</v>
      </c>
      <c r="E642">
        <v>35</v>
      </c>
      <c r="F642" t="s">
        <v>14</v>
      </c>
      <c r="G642" t="s">
        <v>122</v>
      </c>
      <c r="H642" t="s">
        <v>50</v>
      </c>
      <c r="I642" t="s">
        <v>96</v>
      </c>
      <c r="J642" t="s">
        <v>17</v>
      </c>
      <c r="K642" t="s">
        <v>38</v>
      </c>
      <c r="L642">
        <v>3</v>
      </c>
      <c r="M642" s="6">
        <v>713</v>
      </c>
      <c r="N642" s="6">
        <v>1120</v>
      </c>
      <c r="O642" s="6">
        <f>Table1[[#This Row],[Unit_Price]]*Table1[[#This Row],[Order_Quantity]]</f>
        <v>3360</v>
      </c>
      <c r="P642" s="6">
        <f>Table1[[#This Row],[Unit_Cost]]*Table1[[#This Row],[Order_Quantity]]</f>
        <v>2139</v>
      </c>
      <c r="Q642" s="4">
        <f>Table1[[#This Row],[total sales]]-Table1[[#This Row],[total cost]]</f>
        <v>1221</v>
      </c>
      <c r="R642" s="6" t="s">
        <v>137</v>
      </c>
      <c r="S642" s="6" t="str">
        <f>_xlfn.CONCAT(Table1[[#This Row],[Sub_Category]],"-",Table1[[#This Row],[bike colour]])</f>
        <v>Road Bikes-red</v>
      </c>
    </row>
    <row r="643" spans="1:19" x14ac:dyDescent="0.3">
      <c r="A643" s="1">
        <v>44550</v>
      </c>
      <c r="B643">
        <v>20</v>
      </c>
      <c r="C643" t="s">
        <v>106</v>
      </c>
      <c r="D643">
        <v>2021</v>
      </c>
      <c r="E643">
        <v>42</v>
      </c>
      <c r="F643" t="s">
        <v>14</v>
      </c>
      <c r="G643" t="s">
        <v>122</v>
      </c>
      <c r="H643" t="s">
        <v>27</v>
      </c>
      <c r="I643" t="s">
        <v>33</v>
      </c>
      <c r="J643" t="s">
        <v>17</v>
      </c>
      <c r="K643" t="s">
        <v>79</v>
      </c>
      <c r="L643">
        <v>3</v>
      </c>
      <c r="M643" s="6">
        <v>713</v>
      </c>
      <c r="N643" s="6">
        <v>1120</v>
      </c>
      <c r="O643" s="6">
        <f>Table1[[#This Row],[Unit_Price]]*Table1[[#This Row],[Order_Quantity]]</f>
        <v>3360</v>
      </c>
      <c r="P643" s="6">
        <f>Table1[[#This Row],[Unit_Cost]]*Table1[[#This Row],[Order_Quantity]]</f>
        <v>2139</v>
      </c>
      <c r="Q643" s="4">
        <f>Table1[[#This Row],[total sales]]-Table1[[#This Row],[total cost]]</f>
        <v>1221</v>
      </c>
      <c r="R643" s="6" t="s">
        <v>137</v>
      </c>
      <c r="S643" s="6" t="str">
        <f>_xlfn.CONCAT(Table1[[#This Row],[Sub_Category]],"-",Table1[[#This Row],[bike colour]])</f>
        <v>Road Bikes-red</v>
      </c>
    </row>
    <row r="644" spans="1:19" x14ac:dyDescent="0.3">
      <c r="A644" s="1">
        <v>44550</v>
      </c>
      <c r="B644">
        <v>20</v>
      </c>
      <c r="C644" t="s">
        <v>106</v>
      </c>
      <c r="D644">
        <v>2021</v>
      </c>
      <c r="E644">
        <v>43</v>
      </c>
      <c r="F644" t="s">
        <v>14</v>
      </c>
      <c r="G644" t="s">
        <v>122</v>
      </c>
      <c r="H644" t="s">
        <v>15</v>
      </c>
      <c r="I644" t="s">
        <v>16</v>
      </c>
      <c r="J644" t="s">
        <v>17</v>
      </c>
      <c r="K644" t="s">
        <v>54</v>
      </c>
      <c r="L644">
        <v>2</v>
      </c>
      <c r="M644" s="6">
        <v>713</v>
      </c>
      <c r="N644" s="6">
        <v>1120</v>
      </c>
      <c r="O644" s="6">
        <f>Table1[[#This Row],[Unit_Price]]*Table1[[#This Row],[Order_Quantity]]</f>
        <v>2240</v>
      </c>
      <c r="P644" s="6">
        <f>Table1[[#This Row],[Unit_Cost]]*Table1[[#This Row],[Order_Quantity]]</f>
        <v>1426</v>
      </c>
      <c r="Q644" s="4">
        <f>Table1[[#This Row],[total sales]]-Table1[[#This Row],[total cost]]</f>
        <v>814</v>
      </c>
      <c r="R644" s="6" t="s">
        <v>137</v>
      </c>
      <c r="S644" s="6" t="str">
        <f>_xlfn.CONCAT(Table1[[#This Row],[Sub_Category]],"-",Table1[[#This Row],[bike colour]])</f>
        <v>Road Bikes-red</v>
      </c>
    </row>
    <row r="645" spans="1:19" x14ac:dyDescent="0.3">
      <c r="A645" s="1">
        <v>44550</v>
      </c>
      <c r="B645">
        <v>20</v>
      </c>
      <c r="C645" t="s">
        <v>106</v>
      </c>
      <c r="D645">
        <v>2021</v>
      </c>
      <c r="E645">
        <v>27</v>
      </c>
      <c r="F645" t="s">
        <v>19</v>
      </c>
      <c r="G645" t="s">
        <v>120</v>
      </c>
      <c r="H645" t="s">
        <v>20</v>
      </c>
      <c r="I645" t="s">
        <v>21</v>
      </c>
      <c r="J645" t="s">
        <v>17</v>
      </c>
      <c r="K645" t="s">
        <v>44</v>
      </c>
      <c r="L645">
        <v>1</v>
      </c>
      <c r="M645" s="6">
        <v>713</v>
      </c>
      <c r="N645" s="6">
        <v>1120</v>
      </c>
      <c r="O645" s="6">
        <f>Table1[[#This Row],[Unit_Price]]*Table1[[#This Row],[Order_Quantity]]</f>
        <v>1120</v>
      </c>
      <c r="P645" s="6">
        <f>Table1[[#This Row],[Unit_Cost]]*Table1[[#This Row],[Order_Quantity]]</f>
        <v>713</v>
      </c>
      <c r="Q645" s="4">
        <f>Table1[[#This Row],[total sales]]-Table1[[#This Row],[total cost]]</f>
        <v>407</v>
      </c>
      <c r="R645" s="6" t="s">
        <v>136</v>
      </c>
      <c r="S645" s="6" t="str">
        <f>_xlfn.CONCAT(Table1[[#This Row],[Sub_Category]],"-",Table1[[#This Row],[bike colour]])</f>
        <v>Road Bikes-yellow</v>
      </c>
    </row>
    <row r="646" spans="1:19" x14ac:dyDescent="0.3">
      <c r="A646" s="1">
        <v>44550</v>
      </c>
      <c r="B646">
        <v>20</v>
      </c>
      <c r="C646" t="s">
        <v>106</v>
      </c>
      <c r="D646">
        <v>2021</v>
      </c>
      <c r="E646">
        <v>35</v>
      </c>
      <c r="F646" t="s">
        <v>14</v>
      </c>
      <c r="G646" t="s">
        <v>120</v>
      </c>
      <c r="H646" t="s">
        <v>27</v>
      </c>
      <c r="I646" t="s">
        <v>28</v>
      </c>
      <c r="J646" t="s">
        <v>25</v>
      </c>
      <c r="K646" t="s">
        <v>31</v>
      </c>
      <c r="L646">
        <v>1</v>
      </c>
      <c r="M646" s="6">
        <v>713</v>
      </c>
      <c r="N646" s="6">
        <v>1120</v>
      </c>
      <c r="O646" s="6">
        <f>Table1[[#This Row],[Unit_Price]]*Table1[[#This Row],[Order_Quantity]]</f>
        <v>1120</v>
      </c>
      <c r="P646" s="6">
        <f>Table1[[#This Row],[Unit_Cost]]*Table1[[#This Row],[Order_Quantity]]</f>
        <v>713</v>
      </c>
      <c r="Q646" s="4">
        <f>Table1[[#This Row],[total sales]]-Table1[[#This Row],[total cost]]</f>
        <v>407</v>
      </c>
      <c r="R646" s="6" t="s">
        <v>139</v>
      </c>
      <c r="S646" s="6" t="str">
        <f>_xlfn.CONCAT(Table1[[#This Row],[Sub_Category]],"-",Table1[[#This Row],[bike colour]])</f>
        <v>Mountain Bikes-silver</v>
      </c>
    </row>
    <row r="647" spans="1:19" x14ac:dyDescent="0.3">
      <c r="A647" s="1">
        <v>44550</v>
      </c>
      <c r="B647">
        <v>20</v>
      </c>
      <c r="C647" t="s">
        <v>106</v>
      </c>
      <c r="D647">
        <v>2021</v>
      </c>
      <c r="E647">
        <v>35</v>
      </c>
      <c r="F647" t="s">
        <v>14</v>
      </c>
      <c r="G647" t="s">
        <v>122</v>
      </c>
      <c r="H647" t="s">
        <v>27</v>
      </c>
      <c r="I647" t="s">
        <v>45</v>
      </c>
      <c r="J647" t="s">
        <v>25</v>
      </c>
      <c r="K647" t="s">
        <v>31</v>
      </c>
      <c r="L647">
        <v>1</v>
      </c>
      <c r="M647" s="6">
        <v>713</v>
      </c>
      <c r="N647" s="6">
        <v>1120</v>
      </c>
      <c r="O647" s="6">
        <f>Table1[[#This Row],[Unit_Price]]*Table1[[#This Row],[Order_Quantity]]</f>
        <v>1120</v>
      </c>
      <c r="P647" s="6">
        <f>Table1[[#This Row],[Unit_Cost]]*Table1[[#This Row],[Order_Quantity]]</f>
        <v>713</v>
      </c>
      <c r="Q647" s="4">
        <f>Table1[[#This Row],[total sales]]-Table1[[#This Row],[total cost]]</f>
        <v>407</v>
      </c>
      <c r="R647" s="6" t="s">
        <v>139</v>
      </c>
      <c r="S647" s="6" t="str">
        <f>_xlfn.CONCAT(Table1[[#This Row],[Sub_Category]],"-",Table1[[#This Row],[bike colour]])</f>
        <v>Mountain Bikes-silver</v>
      </c>
    </row>
    <row r="648" spans="1:19" x14ac:dyDescent="0.3">
      <c r="A648" s="1">
        <v>44550</v>
      </c>
      <c r="B648">
        <v>20</v>
      </c>
      <c r="C648" t="s">
        <v>106</v>
      </c>
      <c r="D648">
        <v>2021</v>
      </c>
      <c r="E648">
        <v>35</v>
      </c>
      <c r="F648" t="s">
        <v>14</v>
      </c>
      <c r="G648" t="s">
        <v>120</v>
      </c>
      <c r="H648" t="s">
        <v>27</v>
      </c>
      <c r="I648" t="s">
        <v>28</v>
      </c>
      <c r="J648" t="s">
        <v>17</v>
      </c>
      <c r="K648" t="s">
        <v>63</v>
      </c>
      <c r="L648">
        <v>1</v>
      </c>
      <c r="M648" s="6">
        <v>713</v>
      </c>
      <c r="N648" s="6">
        <v>1120</v>
      </c>
      <c r="O648" s="6">
        <f>Table1[[#This Row],[Unit_Price]]*Table1[[#This Row],[Order_Quantity]]</f>
        <v>1120</v>
      </c>
      <c r="P648" s="6">
        <f>Table1[[#This Row],[Unit_Cost]]*Table1[[#This Row],[Order_Quantity]]</f>
        <v>713</v>
      </c>
      <c r="Q648" s="4">
        <f>Table1[[#This Row],[total sales]]-Table1[[#This Row],[total cost]]</f>
        <v>407</v>
      </c>
      <c r="R648" s="6" t="s">
        <v>136</v>
      </c>
      <c r="S648" s="6" t="str">
        <f>_xlfn.CONCAT(Table1[[#This Row],[Sub_Category]],"-",Table1[[#This Row],[bike colour]])</f>
        <v>Road Bikes-yellow</v>
      </c>
    </row>
    <row r="649" spans="1:19" x14ac:dyDescent="0.3">
      <c r="A649" s="1">
        <v>44550</v>
      </c>
      <c r="B649">
        <v>20</v>
      </c>
      <c r="C649" t="s">
        <v>106</v>
      </c>
      <c r="D649">
        <v>2021</v>
      </c>
      <c r="E649">
        <v>43</v>
      </c>
      <c r="F649" t="s">
        <v>14</v>
      </c>
      <c r="G649" t="s">
        <v>122</v>
      </c>
      <c r="H649" t="s">
        <v>15</v>
      </c>
      <c r="I649" t="s">
        <v>47</v>
      </c>
      <c r="J649" t="s">
        <v>17</v>
      </c>
      <c r="K649" t="s">
        <v>29</v>
      </c>
      <c r="L649">
        <v>1</v>
      </c>
      <c r="M649" s="6">
        <v>713</v>
      </c>
      <c r="N649" s="6">
        <v>1120</v>
      </c>
      <c r="O649" s="6">
        <f>Table1[[#This Row],[Unit_Price]]*Table1[[#This Row],[Order_Quantity]]</f>
        <v>1120</v>
      </c>
      <c r="P649" s="6">
        <f>Table1[[#This Row],[Unit_Cost]]*Table1[[#This Row],[Order_Quantity]]</f>
        <v>713</v>
      </c>
      <c r="Q649" s="4">
        <f>Table1[[#This Row],[total sales]]-Table1[[#This Row],[total cost]]</f>
        <v>407</v>
      </c>
      <c r="R649" s="6" t="s">
        <v>136</v>
      </c>
      <c r="S649" s="6" t="str">
        <f>_xlfn.CONCAT(Table1[[#This Row],[Sub_Category]],"-",Table1[[#This Row],[bike colour]])</f>
        <v>Road Bikes-yellow</v>
      </c>
    </row>
    <row r="650" spans="1:19" x14ac:dyDescent="0.3">
      <c r="A650" s="1">
        <v>44550</v>
      </c>
      <c r="B650">
        <v>20</v>
      </c>
      <c r="C650" t="s">
        <v>106</v>
      </c>
      <c r="D650">
        <v>2021</v>
      </c>
      <c r="E650">
        <v>51</v>
      </c>
      <c r="F650" t="s">
        <v>14</v>
      </c>
      <c r="G650" t="s">
        <v>120</v>
      </c>
      <c r="H650" t="s">
        <v>27</v>
      </c>
      <c r="I650" t="s">
        <v>33</v>
      </c>
      <c r="J650" t="s">
        <v>17</v>
      </c>
      <c r="K650" t="s">
        <v>29</v>
      </c>
      <c r="L650">
        <v>1</v>
      </c>
      <c r="M650" s="6">
        <v>713</v>
      </c>
      <c r="N650" s="6">
        <v>1120</v>
      </c>
      <c r="O650" s="6">
        <f>Table1[[#This Row],[Unit_Price]]*Table1[[#This Row],[Order_Quantity]]</f>
        <v>1120</v>
      </c>
      <c r="P650" s="6">
        <f>Table1[[#This Row],[Unit_Cost]]*Table1[[#This Row],[Order_Quantity]]</f>
        <v>713</v>
      </c>
      <c r="Q650" s="4">
        <f>Table1[[#This Row],[total sales]]-Table1[[#This Row],[total cost]]</f>
        <v>407</v>
      </c>
      <c r="R650" s="6" t="s">
        <v>136</v>
      </c>
      <c r="S650" s="6" t="str">
        <f>_xlfn.CONCAT(Table1[[#This Row],[Sub_Category]],"-",Table1[[#This Row],[bike colour]])</f>
        <v>Road Bikes-yellow</v>
      </c>
    </row>
    <row r="651" spans="1:19" x14ac:dyDescent="0.3">
      <c r="A651" s="1">
        <v>44551</v>
      </c>
      <c r="B651">
        <v>21</v>
      </c>
      <c r="C651" t="s">
        <v>106</v>
      </c>
      <c r="D651">
        <v>2021</v>
      </c>
      <c r="E651">
        <v>26</v>
      </c>
      <c r="F651" t="s">
        <v>19</v>
      </c>
      <c r="G651" t="s">
        <v>122</v>
      </c>
      <c r="H651" t="s">
        <v>50</v>
      </c>
      <c r="I651" t="s">
        <v>110</v>
      </c>
      <c r="J651" t="s">
        <v>25</v>
      </c>
      <c r="K651" t="s">
        <v>31</v>
      </c>
      <c r="L651">
        <v>3</v>
      </c>
      <c r="M651" s="6">
        <v>713</v>
      </c>
      <c r="N651" s="6">
        <v>1120</v>
      </c>
      <c r="O651" s="6">
        <f>Table1[[#This Row],[Unit_Price]]*Table1[[#This Row],[Order_Quantity]]</f>
        <v>3360</v>
      </c>
      <c r="P651" s="6">
        <f>Table1[[#This Row],[Unit_Cost]]*Table1[[#This Row],[Order_Quantity]]</f>
        <v>2139</v>
      </c>
      <c r="Q651" s="4">
        <f>Table1[[#This Row],[total sales]]-Table1[[#This Row],[total cost]]</f>
        <v>1221</v>
      </c>
      <c r="R651" s="6" t="s">
        <v>139</v>
      </c>
      <c r="S651" s="6" t="str">
        <f>_xlfn.CONCAT(Table1[[#This Row],[Sub_Category]],"-",Table1[[#This Row],[bike colour]])</f>
        <v>Mountain Bikes-silver</v>
      </c>
    </row>
    <row r="652" spans="1:19" x14ac:dyDescent="0.3">
      <c r="A652" s="1">
        <v>44551</v>
      </c>
      <c r="B652">
        <v>21</v>
      </c>
      <c r="C652" t="s">
        <v>106</v>
      </c>
      <c r="D652">
        <v>2021</v>
      </c>
      <c r="E652">
        <v>23</v>
      </c>
      <c r="F652" t="s">
        <v>49</v>
      </c>
      <c r="G652" t="s">
        <v>122</v>
      </c>
      <c r="H652" t="s">
        <v>23</v>
      </c>
      <c r="I652" t="s">
        <v>24</v>
      </c>
      <c r="J652" t="s">
        <v>25</v>
      </c>
      <c r="K652" t="s">
        <v>92</v>
      </c>
      <c r="L652">
        <v>2</v>
      </c>
      <c r="M652" s="6">
        <v>713</v>
      </c>
      <c r="N652" s="6">
        <v>1120</v>
      </c>
      <c r="O652" s="6">
        <f>Table1[[#This Row],[Unit_Price]]*Table1[[#This Row],[Order_Quantity]]</f>
        <v>2240</v>
      </c>
      <c r="P652" s="6">
        <f>Table1[[#This Row],[Unit_Cost]]*Table1[[#This Row],[Order_Quantity]]</f>
        <v>1426</v>
      </c>
      <c r="Q652" s="4">
        <f>Table1[[#This Row],[total sales]]-Table1[[#This Row],[total cost]]</f>
        <v>814</v>
      </c>
      <c r="R652" s="6" t="s">
        <v>139</v>
      </c>
      <c r="S652" s="6" t="str">
        <f>_xlfn.CONCAT(Table1[[#This Row],[Sub_Category]],"-",Table1[[#This Row],[bike colour]])</f>
        <v>Mountain Bikes-silver</v>
      </c>
    </row>
    <row r="653" spans="1:19" x14ac:dyDescent="0.3">
      <c r="A653" s="1">
        <v>44551</v>
      </c>
      <c r="B653">
        <v>21</v>
      </c>
      <c r="C653" t="s">
        <v>106</v>
      </c>
      <c r="D653">
        <v>2021</v>
      </c>
      <c r="E653">
        <v>27</v>
      </c>
      <c r="F653" t="s">
        <v>19</v>
      </c>
      <c r="G653" t="s">
        <v>120</v>
      </c>
      <c r="H653" t="s">
        <v>27</v>
      </c>
      <c r="I653" t="s">
        <v>28</v>
      </c>
      <c r="J653" t="s">
        <v>17</v>
      </c>
      <c r="K653" t="s">
        <v>46</v>
      </c>
      <c r="L653">
        <v>1</v>
      </c>
      <c r="M653" s="6">
        <v>713</v>
      </c>
      <c r="N653" s="6">
        <v>1120</v>
      </c>
      <c r="O653" s="6">
        <f>Table1[[#This Row],[Unit_Price]]*Table1[[#This Row],[Order_Quantity]]</f>
        <v>1120</v>
      </c>
      <c r="P653" s="6">
        <f>Table1[[#This Row],[Unit_Cost]]*Table1[[#This Row],[Order_Quantity]]</f>
        <v>713</v>
      </c>
      <c r="Q653" s="4">
        <f>Table1[[#This Row],[total sales]]-Table1[[#This Row],[total cost]]</f>
        <v>407</v>
      </c>
      <c r="R653" s="6" t="s">
        <v>137</v>
      </c>
      <c r="S653" s="6" t="str">
        <f>_xlfn.CONCAT(Table1[[#This Row],[Sub_Category]],"-",Table1[[#This Row],[bike colour]])</f>
        <v>Road Bikes-red</v>
      </c>
    </row>
    <row r="654" spans="1:19" x14ac:dyDescent="0.3">
      <c r="A654" s="1">
        <v>44552</v>
      </c>
      <c r="B654">
        <v>22</v>
      </c>
      <c r="C654" t="s">
        <v>106</v>
      </c>
      <c r="D654">
        <v>2021</v>
      </c>
      <c r="E654">
        <v>30</v>
      </c>
      <c r="F654" t="s">
        <v>19</v>
      </c>
      <c r="G654" t="s">
        <v>120</v>
      </c>
      <c r="H654" t="s">
        <v>15</v>
      </c>
      <c r="I654" t="s">
        <v>47</v>
      </c>
      <c r="J654" t="s">
        <v>25</v>
      </c>
      <c r="K654" t="s">
        <v>31</v>
      </c>
      <c r="L654">
        <v>3</v>
      </c>
      <c r="M654" s="6">
        <v>713</v>
      </c>
      <c r="N654" s="6">
        <v>1120</v>
      </c>
      <c r="O654" s="6">
        <f>Table1[[#This Row],[Unit_Price]]*Table1[[#This Row],[Order_Quantity]]</f>
        <v>3360</v>
      </c>
      <c r="P654" s="6">
        <f>Table1[[#This Row],[Unit_Cost]]*Table1[[#This Row],[Order_Quantity]]</f>
        <v>2139</v>
      </c>
      <c r="Q654" s="4">
        <f>Table1[[#This Row],[total sales]]-Table1[[#This Row],[total cost]]</f>
        <v>1221</v>
      </c>
      <c r="R654" s="6" t="s">
        <v>139</v>
      </c>
      <c r="S654" s="6" t="str">
        <f>_xlfn.CONCAT(Table1[[#This Row],[Sub_Category]],"-",Table1[[#This Row],[bike colour]])</f>
        <v>Mountain Bikes-silver</v>
      </c>
    </row>
    <row r="655" spans="1:19" x14ac:dyDescent="0.3">
      <c r="A655" s="1">
        <v>44552</v>
      </c>
      <c r="B655">
        <v>22</v>
      </c>
      <c r="C655" t="s">
        <v>106</v>
      </c>
      <c r="D655">
        <v>2021</v>
      </c>
      <c r="E655">
        <v>40</v>
      </c>
      <c r="F655" t="s">
        <v>14</v>
      </c>
      <c r="G655" t="s">
        <v>120</v>
      </c>
      <c r="H655" t="s">
        <v>23</v>
      </c>
      <c r="I655" t="s">
        <v>24</v>
      </c>
      <c r="J655" t="s">
        <v>17</v>
      </c>
      <c r="K655" t="s">
        <v>73</v>
      </c>
      <c r="L655">
        <v>3</v>
      </c>
      <c r="M655" s="6">
        <v>713</v>
      </c>
      <c r="N655" s="6">
        <v>1120</v>
      </c>
      <c r="O655" s="6">
        <f>Table1[[#This Row],[Unit_Price]]*Table1[[#This Row],[Order_Quantity]]</f>
        <v>3360</v>
      </c>
      <c r="P655" s="6">
        <f>Table1[[#This Row],[Unit_Cost]]*Table1[[#This Row],[Order_Quantity]]</f>
        <v>2139</v>
      </c>
      <c r="Q655" s="4">
        <f>Table1[[#This Row],[total sales]]-Table1[[#This Row],[total cost]]</f>
        <v>1221</v>
      </c>
      <c r="R655" s="6" t="s">
        <v>138</v>
      </c>
      <c r="S655" s="6" t="str">
        <f>_xlfn.CONCAT(Table1[[#This Row],[Sub_Category]],"-",Table1[[#This Row],[bike colour]])</f>
        <v>Road Bikes-black</v>
      </c>
    </row>
    <row r="656" spans="1:19" x14ac:dyDescent="0.3">
      <c r="A656" s="1">
        <v>44552</v>
      </c>
      <c r="B656">
        <v>22</v>
      </c>
      <c r="C656" t="s">
        <v>106</v>
      </c>
      <c r="D656">
        <v>2021</v>
      </c>
      <c r="E656">
        <v>41</v>
      </c>
      <c r="F656" t="s">
        <v>14</v>
      </c>
      <c r="G656" t="s">
        <v>122</v>
      </c>
      <c r="H656" t="s">
        <v>15</v>
      </c>
      <c r="I656" t="s">
        <v>16</v>
      </c>
      <c r="J656" t="s">
        <v>25</v>
      </c>
      <c r="K656" t="s">
        <v>34</v>
      </c>
      <c r="L656">
        <v>3</v>
      </c>
      <c r="M656" s="6">
        <v>713</v>
      </c>
      <c r="N656" s="6">
        <v>1120</v>
      </c>
      <c r="O656" s="6">
        <f>Table1[[#This Row],[Unit_Price]]*Table1[[#This Row],[Order_Quantity]]</f>
        <v>3360</v>
      </c>
      <c r="P656" s="6">
        <f>Table1[[#This Row],[Unit_Cost]]*Table1[[#This Row],[Order_Quantity]]</f>
        <v>2139</v>
      </c>
      <c r="Q656" s="4">
        <f>Table1[[#This Row],[total sales]]-Table1[[#This Row],[total cost]]</f>
        <v>1221</v>
      </c>
      <c r="R656" s="6" t="s">
        <v>138</v>
      </c>
      <c r="S656" s="6" t="str">
        <f>_xlfn.CONCAT(Table1[[#This Row],[Sub_Category]],"-",Table1[[#This Row],[bike colour]])</f>
        <v>Mountain Bikes-black</v>
      </c>
    </row>
    <row r="657" spans="1:19" x14ac:dyDescent="0.3">
      <c r="A657" s="1">
        <v>44552</v>
      </c>
      <c r="B657">
        <v>22</v>
      </c>
      <c r="C657" t="s">
        <v>106</v>
      </c>
      <c r="D657">
        <v>2021</v>
      </c>
      <c r="E657">
        <v>28</v>
      </c>
      <c r="F657" t="s">
        <v>19</v>
      </c>
      <c r="G657" t="s">
        <v>122</v>
      </c>
      <c r="H657" t="s">
        <v>15</v>
      </c>
      <c r="I657" t="s">
        <v>16</v>
      </c>
      <c r="J657" t="s">
        <v>17</v>
      </c>
      <c r="K657" t="s">
        <v>59</v>
      </c>
      <c r="L657">
        <v>2</v>
      </c>
      <c r="M657" s="6">
        <v>713</v>
      </c>
      <c r="N657" s="6">
        <v>1120</v>
      </c>
      <c r="O657" s="6">
        <f>Table1[[#This Row],[Unit_Price]]*Table1[[#This Row],[Order_Quantity]]</f>
        <v>2240</v>
      </c>
      <c r="P657" s="6">
        <f>Table1[[#This Row],[Unit_Cost]]*Table1[[#This Row],[Order_Quantity]]</f>
        <v>1426</v>
      </c>
      <c r="Q657" s="4">
        <f>Table1[[#This Row],[total sales]]-Table1[[#This Row],[total cost]]</f>
        <v>814</v>
      </c>
      <c r="R657" s="6" t="s">
        <v>137</v>
      </c>
      <c r="S657" s="6" t="str">
        <f>_xlfn.CONCAT(Table1[[#This Row],[Sub_Category]],"-",Table1[[#This Row],[bike colour]])</f>
        <v>Road Bikes-red</v>
      </c>
    </row>
    <row r="658" spans="1:19" x14ac:dyDescent="0.3">
      <c r="A658" s="1">
        <v>44552</v>
      </c>
      <c r="B658">
        <v>22</v>
      </c>
      <c r="C658" t="s">
        <v>106</v>
      </c>
      <c r="D658">
        <v>2021</v>
      </c>
      <c r="E658">
        <v>18</v>
      </c>
      <c r="F658" t="s">
        <v>49</v>
      </c>
      <c r="G658" t="s">
        <v>122</v>
      </c>
      <c r="H658" t="s">
        <v>15</v>
      </c>
      <c r="I658" t="s">
        <v>16</v>
      </c>
      <c r="J658" t="s">
        <v>17</v>
      </c>
      <c r="K658" t="s">
        <v>18</v>
      </c>
      <c r="L658">
        <v>1</v>
      </c>
      <c r="M658" s="6">
        <v>713</v>
      </c>
      <c r="N658" s="6">
        <v>1120</v>
      </c>
      <c r="O658" s="6">
        <f>Table1[[#This Row],[Unit_Price]]*Table1[[#This Row],[Order_Quantity]]</f>
        <v>1120</v>
      </c>
      <c r="P658" s="6">
        <f>Table1[[#This Row],[Unit_Cost]]*Table1[[#This Row],[Order_Quantity]]</f>
        <v>713</v>
      </c>
      <c r="Q658" s="4">
        <f>Table1[[#This Row],[total sales]]-Table1[[#This Row],[total cost]]</f>
        <v>407</v>
      </c>
      <c r="R658" s="6" t="s">
        <v>136</v>
      </c>
      <c r="S658" s="6" t="str">
        <f>_xlfn.CONCAT(Table1[[#This Row],[Sub_Category]],"-",Table1[[#This Row],[bike colour]])</f>
        <v>Road Bikes-yellow</v>
      </c>
    </row>
    <row r="659" spans="1:19" x14ac:dyDescent="0.3">
      <c r="A659" s="1">
        <v>44552</v>
      </c>
      <c r="B659">
        <v>22</v>
      </c>
      <c r="C659" t="s">
        <v>106</v>
      </c>
      <c r="D659">
        <v>2021</v>
      </c>
      <c r="E659">
        <v>19</v>
      </c>
      <c r="F659" t="s">
        <v>49</v>
      </c>
      <c r="G659" t="s">
        <v>120</v>
      </c>
      <c r="H659" t="s">
        <v>27</v>
      </c>
      <c r="I659" t="s">
        <v>33</v>
      </c>
      <c r="J659" t="s">
        <v>25</v>
      </c>
      <c r="K659" t="s">
        <v>71</v>
      </c>
      <c r="L659">
        <v>1</v>
      </c>
      <c r="M659" s="6">
        <v>713</v>
      </c>
      <c r="N659" s="6">
        <v>1120</v>
      </c>
      <c r="O659" s="6">
        <f>Table1[[#This Row],[Unit_Price]]*Table1[[#This Row],[Order_Quantity]]</f>
        <v>1120</v>
      </c>
      <c r="P659" s="6">
        <f>Table1[[#This Row],[Unit_Cost]]*Table1[[#This Row],[Order_Quantity]]</f>
        <v>713</v>
      </c>
      <c r="Q659" s="4">
        <f>Table1[[#This Row],[total sales]]-Table1[[#This Row],[total cost]]</f>
        <v>407</v>
      </c>
      <c r="R659" s="6" t="s">
        <v>139</v>
      </c>
      <c r="S659" s="6" t="str">
        <f>_xlfn.CONCAT(Table1[[#This Row],[Sub_Category]],"-",Table1[[#This Row],[bike colour]])</f>
        <v>Mountain Bikes-silver</v>
      </c>
    </row>
    <row r="660" spans="1:19" x14ac:dyDescent="0.3">
      <c r="A660" s="1">
        <v>44552</v>
      </c>
      <c r="B660">
        <v>22</v>
      </c>
      <c r="C660" t="s">
        <v>106</v>
      </c>
      <c r="D660">
        <v>2021</v>
      </c>
      <c r="E660">
        <v>25</v>
      </c>
      <c r="F660" t="s">
        <v>19</v>
      </c>
      <c r="G660" t="s">
        <v>122</v>
      </c>
      <c r="H660" t="s">
        <v>50</v>
      </c>
      <c r="I660" t="s">
        <v>94</v>
      </c>
      <c r="J660" t="s">
        <v>25</v>
      </c>
      <c r="K660" t="s">
        <v>26</v>
      </c>
      <c r="L660">
        <v>1</v>
      </c>
      <c r="M660" s="6">
        <v>713</v>
      </c>
      <c r="N660" s="6">
        <v>1120</v>
      </c>
      <c r="O660" s="6">
        <f>Table1[[#This Row],[Unit_Price]]*Table1[[#This Row],[Order_Quantity]]</f>
        <v>1120</v>
      </c>
      <c r="P660" s="6">
        <f>Table1[[#This Row],[Unit_Cost]]*Table1[[#This Row],[Order_Quantity]]</f>
        <v>713</v>
      </c>
      <c r="Q660" s="4">
        <f>Table1[[#This Row],[total sales]]-Table1[[#This Row],[total cost]]</f>
        <v>407</v>
      </c>
      <c r="R660" s="6" t="s">
        <v>138</v>
      </c>
      <c r="S660" s="6" t="str">
        <f>_xlfn.CONCAT(Table1[[#This Row],[Sub_Category]],"-",Table1[[#This Row],[bike colour]])</f>
        <v>Mountain Bikes-black</v>
      </c>
    </row>
    <row r="661" spans="1:19" x14ac:dyDescent="0.3">
      <c r="A661" s="1">
        <v>44552</v>
      </c>
      <c r="B661">
        <v>22</v>
      </c>
      <c r="C661" t="s">
        <v>106</v>
      </c>
      <c r="D661">
        <v>2021</v>
      </c>
      <c r="E661">
        <v>27</v>
      </c>
      <c r="F661" t="s">
        <v>19</v>
      </c>
      <c r="G661" t="s">
        <v>120</v>
      </c>
      <c r="H661" t="s">
        <v>20</v>
      </c>
      <c r="I661" t="s">
        <v>21</v>
      </c>
      <c r="J661" t="s">
        <v>25</v>
      </c>
      <c r="K661" t="s">
        <v>61</v>
      </c>
      <c r="L661">
        <v>1</v>
      </c>
      <c r="M661" s="6">
        <v>713</v>
      </c>
      <c r="N661" s="6">
        <v>1120</v>
      </c>
      <c r="O661" s="6">
        <f>Table1[[#This Row],[Unit_Price]]*Table1[[#This Row],[Order_Quantity]]</f>
        <v>1120</v>
      </c>
      <c r="P661" s="6">
        <f>Table1[[#This Row],[Unit_Cost]]*Table1[[#This Row],[Order_Quantity]]</f>
        <v>713</v>
      </c>
      <c r="Q661" s="4">
        <f>Table1[[#This Row],[total sales]]-Table1[[#This Row],[total cost]]</f>
        <v>407</v>
      </c>
      <c r="R661" s="6" t="s">
        <v>138</v>
      </c>
      <c r="S661" s="6" t="str">
        <f>_xlfn.CONCAT(Table1[[#This Row],[Sub_Category]],"-",Table1[[#This Row],[bike colour]])</f>
        <v>Mountain Bikes-black</v>
      </c>
    </row>
    <row r="662" spans="1:19" x14ac:dyDescent="0.3">
      <c r="A662" s="1">
        <v>44552</v>
      </c>
      <c r="B662">
        <v>22</v>
      </c>
      <c r="C662" t="s">
        <v>106</v>
      </c>
      <c r="D662">
        <v>2021</v>
      </c>
      <c r="E662">
        <v>28</v>
      </c>
      <c r="F662" t="s">
        <v>19</v>
      </c>
      <c r="G662" t="s">
        <v>120</v>
      </c>
      <c r="H662" t="s">
        <v>15</v>
      </c>
      <c r="I662" t="s">
        <v>16</v>
      </c>
      <c r="J662" t="s">
        <v>17</v>
      </c>
      <c r="K662" t="s">
        <v>80</v>
      </c>
      <c r="L662">
        <v>1</v>
      </c>
      <c r="M662" s="6">
        <v>713</v>
      </c>
      <c r="N662" s="6">
        <v>1120</v>
      </c>
      <c r="O662" s="6">
        <f>Table1[[#This Row],[Unit_Price]]*Table1[[#This Row],[Order_Quantity]]</f>
        <v>1120</v>
      </c>
      <c r="P662" s="6">
        <f>Table1[[#This Row],[Unit_Cost]]*Table1[[#This Row],[Order_Quantity]]</f>
        <v>713</v>
      </c>
      <c r="Q662" s="4">
        <f>Table1[[#This Row],[total sales]]-Table1[[#This Row],[total cost]]</f>
        <v>407</v>
      </c>
      <c r="R662" s="6" t="s">
        <v>138</v>
      </c>
      <c r="S662" s="6" t="str">
        <f>_xlfn.CONCAT(Table1[[#This Row],[Sub_Category]],"-",Table1[[#This Row],[bike colour]])</f>
        <v>Road Bikes-black</v>
      </c>
    </row>
    <row r="663" spans="1:19" x14ac:dyDescent="0.3">
      <c r="A663" s="1">
        <v>44552</v>
      </c>
      <c r="B663">
        <v>22</v>
      </c>
      <c r="C663" t="s">
        <v>106</v>
      </c>
      <c r="D663">
        <v>2021</v>
      </c>
      <c r="E663">
        <v>29</v>
      </c>
      <c r="F663" t="s">
        <v>19</v>
      </c>
      <c r="G663" t="s">
        <v>120</v>
      </c>
      <c r="H663" t="s">
        <v>23</v>
      </c>
      <c r="I663" t="s">
        <v>24</v>
      </c>
      <c r="J663" t="s">
        <v>17</v>
      </c>
      <c r="K663" t="s">
        <v>65</v>
      </c>
      <c r="L663">
        <v>1</v>
      </c>
      <c r="M663" s="6">
        <v>713</v>
      </c>
      <c r="N663" s="6">
        <v>1120</v>
      </c>
      <c r="O663" s="6">
        <f>Table1[[#This Row],[Unit_Price]]*Table1[[#This Row],[Order_Quantity]]</f>
        <v>1120</v>
      </c>
      <c r="P663" s="6">
        <f>Table1[[#This Row],[Unit_Cost]]*Table1[[#This Row],[Order_Quantity]]</f>
        <v>713</v>
      </c>
      <c r="Q663" s="4">
        <f>Table1[[#This Row],[total sales]]-Table1[[#This Row],[total cost]]</f>
        <v>407</v>
      </c>
      <c r="R663" s="6" t="s">
        <v>136</v>
      </c>
      <c r="S663" s="6" t="str">
        <f>_xlfn.CONCAT(Table1[[#This Row],[Sub_Category]],"-",Table1[[#This Row],[bike colour]])</f>
        <v>Road Bikes-yellow</v>
      </c>
    </row>
    <row r="664" spans="1:19" x14ac:dyDescent="0.3">
      <c r="A664" s="1">
        <v>44552</v>
      </c>
      <c r="B664">
        <v>22</v>
      </c>
      <c r="C664" t="s">
        <v>106</v>
      </c>
      <c r="D664">
        <v>2021</v>
      </c>
      <c r="E664">
        <v>41</v>
      </c>
      <c r="F664" t="s">
        <v>14</v>
      </c>
      <c r="G664" t="s">
        <v>122</v>
      </c>
      <c r="H664" t="s">
        <v>42</v>
      </c>
      <c r="I664" t="s">
        <v>86</v>
      </c>
      <c r="J664" t="s">
        <v>25</v>
      </c>
      <c r="K664" t="s">
        <v>31</v>
      </c>
      <c r="L664">
        <v>1</v>
      </c>
      <c r="M664" s="6">
        <v>713</v>
      </c>
      <c r="N664" s="6">
        <v>1120</v>
      </c>
      <c r="O664" s="6">
        <f>Table1[[#This Row],[Unit_Price]]*Table1[[#This Row],[Order_Quantity]]</f>
        <v>1120</v>
      </c>
      <c r="P664" s="6">
        <f>Table1[[#This Row],[Unit_Cost]]*Table1[[#This Row],[Order_Quantity]]</f>
        <v>713</v>
      </c>
      <c r="Q664" s="4">
        <f>Table1[[#This Row],[total sales]]-Table1[[#This Row],[total cost]]</f>
        <v>407</v>
      </c>
      <c r="R664" s="6" t="s">
        <v>139</v>
      </c>
      <c r="S664" s="6" t="str">
        <f>_xlfn.CONCAT(Table1[[#This Row],[Sub_Category]],"-",Table1[[#This Row],[bike colour]])</f>
        <v>Mountain Bikes-silver</v>
      </c>
    </row>
    <row r="665" spans="1:19" x14ac:dyDescent="0.3">
      <c r="A665" s="1">
        <v>44552</v>
      </c>
      <c r="B665">
        <v>22</v>
      </c>
      <c r="C665" t="s">
        <v>106</v>
      </c>
      <c r="D665">
        <v>2021</v>
      </c>
      <c r="E665">
        <v>42</v>
      </c>
      <c r="F665" t="s">
        <v>14</v>
      </c>
      <c r="G665" t="s">
        <v>122</v>
      </c>
      <c r="H665" t="s">
        <v>23</v>
      </c>
      <c r="I665" t="s">
        <v>24</v>
      </c>
      <c r="J665" t="s">
        <v>17</v>
      </c>
      <c r="K665" t="s">
        <v>102</v>
      </c>
      <c r="L665">
        <v>1</v>
      </c>
      <c r="M665" s="6">
        <v>713</v>
      </c>
      <c r="N665" s="6">
        <v>1120</v>
      </c>
      <c r="O665" s="6">
        <f>Table1[[#This Row],[Unit_Price]]*Table1[[#This Row],[Order_Quantity]]</f>
        <v>1120</v>
      </c>
      <c r="P665" s="6">
        <f>Table1[[#This Row],[Unit_Cost]]*Table1[[#This Row],[Order_Quantity]]</f>
        <v>713</v>
      </c>
      <c r="Q665" s="4">
        <f>Table1[[#This Row],[total sales]]-Table1[[#This Row],[total cost]]</f>
        <v>407</v>
      </c>
      <c r="R665" s="6" t="s">
        <v>137</v>
      </c>
      <c r="S665" s="6" t="str">
        <f>_xlfn.CONCAT(Table1[[#This Row],[Sub_Category]],"-",Table1[[#This Row],[bike colour]])</f>
        <v>Road Bikes-red</v>
      </c>
    </row>
    <row r="666" spans="1:19" x14ac:dyDescent="0.3">
      <c r="A666" s="1">
        <v>44553</v>
      </c>
      <c r="B666">
        <v>23</v>
      </c>
      <c r="C666" t="s">
        <v>106</v>
      </c>
      <c r="D666">
        <v>2021</v>
      </c>
      <c r="E666">
        <v>29</v>
      </c>
      <c r="F666" t="s">
        <v>19</v>
      </c>
      <c r="G666" t="s">
        <v>122</v>
      </c>
      <c r="H666" t="s">
        <v>23</v>
      </c>
      <c r="I666" t="s">
        <v>24</v>
      </c>
      <c r="J666" t="s">
        <v>17</v>
      </c>
      <c r="K666" t="s">
        <v>64</v>
      </c>
      <c r="L666">
        <v>4</v>
      </c>
      <c r="M666" s="6">
        <v>713</v>
      </c>
      <c r="N666" s="6">
        <v>1120</v>
      </c>
      <c r="O666" s="6">
        <f>Table1[[#This Row],[Unit_Price]]*Table1[[#This Row],[Order_Quantity]]</f>
        <v>4480</v>
      </c>
      <c r="P666" s="6">
        <f>Table1[[#This Row],[Unit_Cost]]*Table1[[#This Row],[Order_Quantity]]</f>
        <v>2852</v>
      </c>
      <c r="Q666" s="4">
        <f>Table1[[#This Row],[total sales]]-Table1[[#This Row],[total cost]]</f>
        <v>1628</v>
      </c>
      <c r="R666" s="6" t="s">
        <v>136</v>
      </c>
      <c r="S666" s="6" t="str">
        <f>_xlfn.CONCAT(Table1[[#This Row],[Sub_Category]],"-",Table1[[#This Row],[bike colour]])</f>
        <v>Road Bikes-yellow</v>
      </c>
    </row>
    <row r="667" spans="1:19" x14ac:dyDescent="0.3">
      <c r="A667" s="1">
        <v>44553</v>
      </c>
      <c r="B667">
        <v>23</v>
      </c>
      <c r="C667" t="s">
        <v>106</v>
      </c>
      <c r="D667">
        <v>2021</v>
      </c>
      <c r="E667">
        <v>23</v>
      </c>
      <c r="F667" t="s">
        <v>49</v>
      </c>
      <c r="G667" t="s">
        <v>122</v>
      </c>
      <c r="H667" t="s">
        <v>15</v>
      </c>
      <c r="I667" t="s">
        <v>82</v>
      </c>
      <c r="J667" t="s">
        <v>17</v>
      </c>
      <c r="K667" t="s">
        <v>36</v>
      </c>
      <c r="L667">
        <v>3</v>
      </c>
      <c r="M667" s="6">
        <v>713</v>
      </c>
      <c r="N667" s="6">
        <v>1120</v>
      </c>
      <c r="O667" s="6">
        <f>Table1[[#This Row],[Unit_Price]]*Table1[[#This Row],[Order_Quantity]]</f>
        <v>3360</v>
      </c>
      <c r="P667" s="6">
        <f>Table1[[#This Row],[Unit_Cost]]*Table1[[#This Row],[Order_Quantity]]</f>
        <v>2139</v>
      </c>
      <c r="Q667" s="4">
        <f>Table1[[#This Row],[total sales]]-Table1[[#This Row],[total cost]]</f>
        <v>1221</v>
      </c>
      <c r="R667" s="6" t="s">
        <v>136</v>
      </c>
      <c r="S667" s="6" t="str">
        <f>_xlfn.CONCAT(Table1[[#This Row],[Sub_Category]],"-",Table1[[#This Row],[bike colour]])</f>
        <v>Road Bikes-yellow</v>
      </c>
    </row>
    <row r="668" spans="1:19" x14ac:dyDescent="0.3">
      <c r="A668" s="1">
        <v>44553</v>
      </c>
      <c r="B668">
        <v>23</v>
      </c>
      <c r="C668" t="s">
        <v>106</v>
      </c>
      <c r="D668">
        <v>2021</v>
      </c>
      <c r="E668">
        <v>22</v>
      </c>
      <c r="F668" t="s">
        <v>49</v>
      </c>
      <c r="G668" t="s">
        <v>122</v>
      </c>
      <c r="H668" t="s">
        <v>15</v>
      </c>
      <c r="I668" t="s">
        <v>16</v>
      </c>
      <c r="J668" t="s">
        <v>17</v>
      </c>
      <c r="K668" t="s">
        <v>37</v>
      </c>
      <c r="L668">
        <v>2</v>
      </c>
      <c r="M668" s="6">
        <v>713</v>
      </c>
      <c r="N668" s="6">
        <v>1120</v>
      </c>
      <c r="O668" s="6">
        <f>Table1[[#This Row],[Unit_Price]]*Table1[[#This Row],[Order_Quantity]]</f>
        <v>2240</v>
      </c>
      <c r="P668" s="6">
        <f>Table1[[#This Row],[Unit_Cost]]*Table1[[#This Row],[Order_Quantity]]</f>
        <v>1426</v>
      </c>
      <c r="Q668" s="4">
        <f>Table1[[#This Row],[total sales]]-Table1[[#This Row],[total cost]]</f>
        <v>814</v>
      </c>
      <c r="R668" s="6" t="s">
        <v>137</v>
      </c>
      <c r="S668" s="6" t="str">
        <f>_xlfn.CONCAT(Table1[[#This Row],[Sub_Category]],"-",Table1[[#This Row],[bike colour]])</f>
        <v>Road Bikes-red</v>
      </c>
    </row>
    <row r="669" spans="1:19" x14ac:dyDescent="0.3">
      <c r="A669" s="1">
        <v>44553</v>
      </c>
      <c r="B669">
        <v>23</v>
      </c>
      <c r="C669" t="s">
        <v>106</v>
      </c>
      <c r="D669">
        <v>2021</v>
      </c>
      <c r="E669">
        <v>34</v>
      </c>
      <c r="F669" t="s">
        <v>19</v>
      </c>
      <c r="G669" t="s">
        <v>122</v>
      </c>
      <c r="H669" t="s">
        <v>27</v>
      </c>
      <c r="I669" t="s">
        <v>28</v>
      </c>
      <c r="J669" t="s">
        <v>17</v>
      </c>
      <c r="K669" t="s">
        <v>52</v>
      </c>
      <c r="L669">
        <v>2</v>
      </c>
      <c r="M669" s="6">
        <v>713</v>
      </c>
      <c r="N669" s="6">
        <v>1120</v>
      </c>
      <c r="O669" s="6">
        <f>Table1[[#This Row],[Unit_Price]]*Table1[[#This Row],[Order_Quantity]]</f>
        <v>2240</v>
      </c>
      <c r="P669" s="6">
        <f>Table1[[#This Row],[Unit_Cost]]*Table1[[#This Row],[Order_Quantity]]</f>
        <v>1426</v>
      </c>
      <c r="Q669" s="4">
        <f>Table1[[#This Row],[total sales]]-Table1[[#This Row],[total cost]]</f>
        <v>814</v>
      </c>
      <c r="R669" s="6" t="s">
        <v>138</v>
      </c>
      <c r="S669" s="6" t="str">
        <f>_xlfn.CONCAT(Table1[[#This Row],[Sub_Category]],"-",Table1[[#This Row],[bike colour]])</f>
        <v>Road Bikes-black</v>
      </c>
    </row>
    <row r="670" spans="1:19" x14ac:dyDescent="0.3">
      <c r="A670" s="1">
        <v>44553</v>
      </c>
      <c r="B670">
        <v>23</v>
      </c>
      <c r="C670" t="s">
        <v>106</v>
      </c>
      <c r="D670">
        <v>2021</v>
      </c>
      <c r="E670">
        <v>34</v>
      </c>
      <c r="F670" t="s">
        <v>19</v>
      </c>
      <c r="G670" t="s">
        <v>120</v>
      </c>
      <c r="H670" t="s">
        <v>27</v>
      </c>
      <c r="I670" t="s">
        <v>30</v>
      </c>
      <c r="J670" t="s">
        <v>17</v>
      </c>
      <c r="K670" t="s">
        <v>18</v>
      </c>
      <c r="L670">
        <v>2</v>
      </c>
      <c r="M670" s="6">
        <v>713</v>
      </c>
      <c r="N670" s="6">
        <v>1120</v>
      </c>
      <c r="O670" s="6">
        <f>Table1[[#This Row],[Unit_Price]]*Table1[[#This Row],[Order_Quantity]]</f>
        <v>2240</v>
      </c>
      <c r="P670" s="6">
        <f>Table1[[#This Row],[Unit_Cost]]*Table1[[#This Row],[Order_Quantity]]</f>
        <v>1426</v>
      </c>
      <c r="Q670" s="4">
        <f>Table1[[#This Row],[total sales]]-Table1[[#This Row],[total cost]]</f>
        <v>814</v>
      </c>
      <c r="R670" s="6" t="s">
        <v>136</v>
      </c>
      <c r="S670" s="6" t="str">
        <f>_xlfn.CONCAT(Table1[[#This Row],[Sub_Category]],"-",Table1[[#This Row],[bike colour]])</f>
        <v>Road Bikes-yellow</v>
      </c>
    </row>
    <row r="671" spans="1:19" x14ac:dyDescent="0.3">
      <c r="A671" s="1">
        <v>44553</v>
      </c>
      <c r="B671">
        <v>23</v>
      </c>
      <c r="C671" t="s">
        <v>106</v>
      </c>
      <c r="D671">
        <v>2021</v>
      </c>
      <c r="E671">
        <v>19</v>
      </c>
      <c r="F671" t="s">
        <v>49</v>
      </c>
      <c r="G671" t="s">
        <v>122</v>
      </c>
      <c r="H671" t="s">
        <v>15</v>
      </c>
      <c r="I671" t="s">
        <v>16</v>
      </c>
      <c r="J671" t="s">
        <v>17</v>
      </c>
      <c r="K671" t="s">
        <v>81</v>
      </c>
      <c r="L671">
        <v>1</v>
      </c>
      <c r="M671" s="6">
        <v>713</v>
      </c>
      <c r="N671" s="6">
        <v>1120</v>
      </c>
      <c r="O671" s="6">
        <f>Table1[[#This Row],[Unit_Price]]*Table1[[#This Row],[Order_Quantity]]</f>
        <v>1120</v>
      </c>
      <c r="P671" s="6">
        <f>Table1[[#This Row],[Unit_Cost]]*Table1[[#This Row],[Order_Quantity]]</f>
        <v>713</v>
      </c>
      <c r="Q671" s="4">
        <f>Table1[[#This Row],[total sales]]-Table1[[#This Row],[total cost]]</f>
        <v>407</v>
      </c>
      <c r="R671" s="6" t="s">
        <v>136</v>
      </c>
      <c r="S671" s="6" t="str">
        <f>_xlfn.CONCAT(Table1[[#This Row],[Sub_Category]],"-",Table1[[#This Row],[bike colour]])</f>
        <v>Road Bikes-yellow</v>
      </c>
    </row>
    <row r="672" spans="1:19" x14ac:dyDescent="0.3">
      <c r="A672" s="1">
        <v>44553</v>
      </c>
      <c r="B672">
        <v>23</v>
      </c>
      <c r="C672" t="s">
        <v>106</v>
      </c>
      <c r="D672">
        <v>2021</v>
      </c>
      <c r="E672">
        <v>30</v>
      </c>
      <c r="F672" t="s">
        <v>19</v>
      </c>
      <c r="G672" t="s">
        <v>120</v>
      </c>
      <c r="H672" t="s">
        <v>15</v>
      </c>
      <c r="I672" t="s">
        <v>82</v>
      </c>
      <c r="J672" t="s">
        <v>25</v>
      </c>
      <c r="K672" t="s">
        <v>56</v>
      </c>
      <c r="L672">
        <v>1</v>
      </c>
      <c r="M672" s="6">
        <v>713</v>
      </c>
      <c r="N672" s="6">
        <v>1120</v>
      </c>
      <c r="O672" s="6">
        <f>Table1[[#This Row],[Unit_Price]]*Table1[[#This Row],[Order_Quantity]]</f>
        <v>1120</v>
      </c>
      <c r="P672" s="6">
        <f>Table1[[#This Row],[Unit_Cost]]*Table1[[#This Row],[Order_Quantity]]</f>
        <v>713</v>
      </c>
      <c r="Q672" s="4">
        <f>Table1[[#This Row],[total sales]]-Table1[[#This Row],[total cost]]</f>
        <v>407</v>
      </c>
      <c r="R672" s="6" t="s">
        <v>139</v>
      </c>
      <c r="S672" s="6" t="str">
        <f>_xlfn.CONCAT(Table1[[#This Row],[Sub_Category]],"-",Table1[[#This Row],[bike colour]])</f>
        <v>Mountain Bikes-silver</v>
      </c>
    </row>
    <row r="673" spans="1:19" x14ac:dyDescent="0.3">
      <c r="A673" s="1">
        <v>44553</v>
      </c>
      <c r="B673">
        <v>23</v>
      </c>
      <c r="C673" t="s">
        <v>106</v>
      </c>
      <c r="D673">
        <v>2021</v>
      </c>
      <c r="E673">
        <v>31</v>
      </c>
      <c r="F673" t="s">
        <v>19</v>
      </c>
      <c r="G673" t="s">
        <v>120</v>
      </c>
      <c r="H673" t="s">
        <v>20</v>
      </c>
      <c r="I673" t="s">
        <v>21</v>
      </c>
      <c r="J673" t="s">
        <v>25</v>
      </c>
      <c r="K673" t="s">
        <v>34</v>
      </c>
      <c r="L673">
        <v>1</v>
      </c>
      <c r="M673" s="6">
        <v>713</v>
      </c>
      <c r="N673" s="6">
        <v>1120</v>
      </c>
      <c r="O673" s="6">
        <f>Table1[[#This Row],[Unit_Price]]*Table1[[#This Row],[Order_Quantity]]</f>
        <v>1120</v>
      </c>
      <c r="P673" s="6">
        <f>Table1[[#This Row],[Unit_Cost]]*Table1[[#This Row],[Order_Quantity]]</f>
        <v>713</v>
      </c>
      <c r="Q673" s="4">
        <f>Table1[[#This Row],[total sales]]-Table1[[#This Row],[total cost]]</f>
        <v>407</v>
      </c>
      <c r="R673" s="6" t="s">
        <v>138</v>
      </c>
      <c r="S673" s="6" t="str">
        <f>_xlfn.CONCAT(Table1[[#This Row],[Sub_Category]],"-",Table1[[#This Row],[bike colour]])</f>
        <v>Mountain Bikes-black</v>
      </c>
    </row>
    <row r="674" spans="1:19" x14ac:dyDescent="0.3">
      <c r="A674" s="1">
        <v>44553</v>
      </c>
      <c r="B674">
        <v>23</v>
      </c>
      <c r="C674" t="s">
        <v>106</v>
      </c>
      <c r="D674">
        <v>2021</v>
      </c>
      <c r="E674">
        <v>35</v>
      </c>
      <c r="F674" t="s">
        <v>14</v>
      </c>
      <c r="G674" t="s">
        <v>120</v>
      </c>
      <c r="H674" t="s">
        <v>15</v>
      </c>
      <c r="I674" t="s">
        <v>16</v>
      </c>
      <c r="J674" t="s">
        <v>25</v>
      </c>
      <c r="K674" t="s">
        <v>72</v>
      </c>
      <c r="L674">
        <v>1</v>
      </c>
      <c r="M674" s="6">
        <v>713</v>
      </c>
      <c r="N674" s="6">
        <v>1120</v>
      </c>
      <c r="O674" s="6">
        <f>Table1[[#This Row],[Unit_Price]]*Table1[[#This Row],[Order_Quantity]]</f>
        <v>1120</v>
      </c>
      <c r="P674" s="6">
        <f>Table1[[#This Row],[Unit_Cost]]*Table1[[#This Row],[Order_Quantity]]</f>
        <v>713</v>
      </c>
      <c r="Q674" s="4">
        <f>Table1[[#This Row],[total sales]]-Table1[[#This Row],[total cost]]</f>
        <v>407</v>
      </c>
      <c r="R674" s="6" t="s">
        <v>138</v>
      </c>
      <c r="S674" s="6" t="str">
        <f>_xlfn.CONCAT(Table1[[#This Row],[Sub_Category]],"-",Table1[[#This Row],[bike colour]])</f>
        <v>Mountain Bikes-black</v>
      </c>
    </row>
    <row r="675" spans="1:19" x14ac:dyDescent="0.3">
      <c r="A675" s="1">
        <v>44553</v>
      </c>
      <c r="B675">
        <v>23</v>
      </c>
      <c r="C675" t="s">
        <v>106</v>
      </c>
      <c r="D675">
        <v>2021</v>
      </c>
      <c r="E675">
        <v>37</v>
      </c>
      <c r="F675" t="s">
        <v>14</v>
      </c>
      <c r="G675" t="s">
        <v>120</v>
      </c>
      <c r="H675" t="s">
        <v>50</v>
      </c>
      <c r="I675" t="s">
        <v>90</v>
      </c>
      <c r="J675" t="s">
        <v>17</v>
      </c>
      <c r="K675" t="s">
        <v>54</v>
      </c>
      <c r="L675">
        <v>1</v>
      </c>
      <c r="M675" s="6">
        <v>713</v>
      </c>
      <c r="N675" s="6">
        <v>1120</v>
      </c>
      <c r="O675" s="6">
        <f>Table1[[#This Row],[Unit_Price]]*Table1[[#This Row],[Order_Quantity]]</f>
        <v>1120</v>
      </c>
      <c r="P675" s="6">
        <f>Table1[[#This Row],[Unit_Cost]]*Table1[[#This Row],[Order_Quantity]]</f>
        <v>713</v>
      </c>
      <c r="Q675" s="4">
        <f>Table1[[#This Row],[total sales]]-Table1[[#This Row],[total cost]]</f>
        <v>407</v>
      </c>
      <c r="R675" s="6" t="s">
        <v>137</v>
      </c>
      <c r="S675" s="6" t="str">
        <f>_xlfn.CONCAT(Table1[[#This Row],[Sub_Category]],"-",Table1[[#This Row],[bike colour]])</f>
        <v>Road Bikes-red</v>
      </c>
    </row>
    <row r="676" spans="1:19" x14ac:dyDescent="0.3">
      <c r="A676" s="1">
        <v>44553</v>
      </c>
      <c r="B676">
        <v>23</v>
      </c>
      <c r="C676" t="s">
        <v>106</v>
      </c>
      <c r="D676">
        <v>2021</v>
      </c>
      <c r="E676">
        <v>43</v>
      </c>
      <c r="F676" t="s">
        <v>14</v>
      </c>
      <c r="G676" t="s">
        <v>122</v>
      </c>
      <c r="H676" t="s">
        <v>15</v>
      </c>
      <c r="I676" t="s">
        <v>47</v>
      </c>
      <c r="J676" t="s">
        <v>17</v>
      </c>
      <c r="K676" t="s">
        <v>29</v>
      </c>
      <c r="L676">
        <v>1</v>
      </c>
      <c r="M676" s="6">
        <v>713</v>
      </c>
      <c r="N676" s="6">
        <v>1120</v>
      </c>
      <c r="O676" s="6">
        <f>Table1[[#This Row],[Unit_Price]]*Table1[[#This Row],[Order_Quantity]]</f>
        <v>1120</v>
      </c>
      <c r="P676" s="6">
        <f>Table1[[#This Row],[Unit_Cost]]*Table1[[#This Row],[Order_Quantity]]</f>
        <v>713</v>
      </c>
      <c r="Q676" s="4">
        <f>Table1[[#This Row],[total sales]]-Table1[[#This Row],[total cost]]</f>
        <v>407</v>
      </c>
      <c r="R676" s="6" t="s">
        <v>136</v>
      </c>
      <c r="S676" s="6" t="str">
        <f>_xlfn.CONCAT(Table1[[#This Row],[Sub_Category]],"-",Table1[[#This Row],[bike colour]])</f>
        <v>Road Bikes-yellow</v>
      </c>
    </row>
    <row r="677" spans="1:19" x14ac:dyDescent="0.3">
      <c r="A677" s="1">
        <v>44553</v>
      </c>
      <c r="B677">
        <v>23</v>
      </c>
      <c r="C677" t="s">
        <v>106</v>
      </c>
      <c r="D677">
        <v>2021</v>
      </c>
      <c r="E677">
        <v>57</v>
      </c>
      <c r="F677" t="s">
        <v>14</v>
      </c>
      <c r="G677" t="s">
        <v>120</v>
      </c>
      <c r="H677" t="s">
        <v>27</v>
      </c>
      <c r="I677" t="s">
        <v>28</v>
      </c>
      <c r="J677" t="s">
        <v>17</v>
      </c>
      <c r="K677" t="s">
        <v>38</v>
      </c>
      <c r="L677">
        <v>1</v>
      </c>
      <c r="M677" s="6">
        <v>713</v>
      </c>
      <c r="N677" s="6">
        <v>1120</v>
      </c>
      <c r="O677" s="6">
        <f>Table1[[#This Row],[Unit_Price]]*Table1[[#This Row],[Order_Quantity]]</f>
        <v>1120</v>
      </c>
      <c r="P677" s="6">
        <f>Table1[[#This Row],[Unit_Cost]]*Table1[[#This Row],[Order_Quantity]]</f>
        <v>713</v>
      </c>
      <c r="Q677" s="4">
        <f>Table1[[#This Row],[total sales]]-Table1[[#This Row],[total cost]]</f>
        <v>407</v>
      </c>
      <c r="R677" s="6" t="s">
        <v>137</v>
      </c>
      <c r="S677" s="6" t="str">
        <f>_xlfn.CONCAT(Table1[[#This Row],[Sub_Category]],"-",Table1[[#This Row],[bike colour]])</f>
        <v>Road Bikes-red</v>
      </c>
    </row>
    <row r="678" spans="1:19" x14ac:dyDescent="0.3">
      <c r="A678" s="1">
        <v>44554</v>
      </c>
      <c r="B678">
        <v>24</v>
      </c>
      <c r="C678" t="s">
        <v>106</v>
      </c>
      <c r="D678">
        <v>2021</v>
      </c>
      <c r="E678">
        <v>38</v>
      </c>
      <c r="F678" t="s">
        <v>14</v>
      </c>
      <c r="G678" t="s">
        <v>122</v>
      </c>
      <c r="H678" t="s">
        <v>27</v>
      </c>
      <c r="I678" t="s">
        <v>28</v>
      </c>
      <c r="J678" t="s">
        <v>25</v>
      </c>
      <c r="K678" t="s">
        <v>34</v>
      </c>
      <c r="L678">
        <v>4</v>
      </c>
      <c r="M678" s="6">
        <v>713</v>
      </c>
      <c r="N678" s="6">
        <v>1120</v>
      </c>
      <c r="O678" s="6">
        <f>Table1[[#This Row],[Unit_Price]]*Table1[[#This Row],[Order_Quantity]]</f>
        <v>4480</v>
      </c>
      <c r="P678" s="6">
        <f>Table1[[#This Row],[Unit_Cost]]*Table1[[#This Row],[Order_Quantity]]</f>
        <v>2852</v>
      </c>
      <c r="Q678" s="4">
        <f>Table1[[#This Row],[total sales]]-Table1[[#This Row],[total cost]]</f>
        <v>1628</v>
      </c>
      <c r="R678" s="6" t="s">
        <v>138</v>
      </c>
      <c r="S678" s="6" t="str">
        <f>_xlfn.CONCAT(Table1[[#This Row],[Sub_Category]],"-",Table1[[#This Row],[bike colour]])</f>
        <v>Mountain Bikes-black</v>
      </c>
    </row>
    <row r="679" spans="1:19" x14ac:dyDescent="0.3">
      <c r="A679" s="1">
        <v>44554</v>
      </c>
      <c r="B679">
        <v>24</v>
      </c>
      <c r="C679" t="s">
        <v>106</v>
      </c>
      <c r="D679">
        <v>2021</v>
      </c>
      <c r="E679">
        <v>25</v>
      </c>
      <c r="F679" t="s">
        <v>19</v>
      </c>
      <c r="G679" t="s">
        <v>122</v>
      </c>
      <c r="H679" t="s">
        <v>50</v>
      </c>
      <c r="I679" t="s">
        <v>90</v>
      </c>
      <c r="J679" t="s">
        <v>25</v>
      </c>
      <c r="K679" t="s">
        <v>56</v>
      </c>
      <c r="L679">
        <v>3</v>
      </c>
      <c r="M679" s="6">
        <v>713</v>
      </c>
      <c r="N679" s="6">
        <v>1120</v>
      </c>
      <c r="O679" s="6">
        <f>Table1[[#This Row],[Unit_Price]]*Table1[[#This Row],[Order_Quantity]]</f>
        <v>3360</v>
      </c>
      <c r="P679" s="6">
        <f>Table1[[#This Row],[Unit_Cost]]*Table1[[#This Row],[Order_Quantity]]</f>
        <v>2139</v>
      </c>
      <c r="Q679" s="4">
        <f>Table1[[#This Row],[total sales]]-Table1[[#This Row],[total cost]]</f>
        <v>1221</v>
      </c>
      <c r="R679" s="6" t="s">
        <v>139</v>
      </c>
      <c r="S679" s="6" t="str">
        <f>_xlfn.CONCAT(Table1[[#This Row],[Sub_Category]],"-",Table1[[#This Row],[bike colour]])</f>
        <v>Mountain Bikes-silver</v>
      </c>
    </row>
    <row r="680" spans="1:19" x14ac:dyDescent="0.3">
      <c r="A680" s="1">
        <v>44554</v>
      </c>
      <c r="B680">
        <v>24</v>
      </c>
      <c r="C680" t="s">
        <v>106</v>
      </c>
      <c r="D680">
        <v>2021</v>
      </c>
      <c r="E680">
        <v>49</v>
      </c>
      <c r="F680" t="s">
        <v>14</v>
      </c>
      <c r="G680" t="s">
        <v>120</v>
      </c>
      <c r="H680" t="s">
        <v>42</v>
      </c>
      <c r="I680" t="s">
        <v>58</v>
      </c>
      <c r="J680" t="s">
        <v>17</v>
      </c>
      <c r="K680" t="s">
        <v>46</v>
      </c>
      <c r="L680">
        <v>3</v>
      </c>
      <c r="M680" s="6">
        <v>713</v>
      </c>
      <c r="N680" s="6">
        <v>1120</v>
      </c>
      <c r="O680" s="6">
        <f>Table1[[#This Row],[Unit_Price]]*Table1[[#This Row],[Order_Quantity]]</f>
        <v>3360</v>
      </c>
      <c r="P680" s="6">
        <f>Table1[[#This Row],[Unit_Cost]]*Table1[[#This Row],[Order_Quantity]]</f>
        <v>2139</v>
      </c>
      <c r="Q680" s="4">
        <f>Table1[[#This Row],[total sales]]-Table1[[#This Row],[total cost]]</f>
        <v>1221</v>
      </c>
      <c r="R680" s="6" t="s">
        <v>137</v>
      </c>
      <c r="S680" s="6" t="str">
        <f>_xlfn.CONCAT(Table1[[#This Row],[Sub_Category]],"-",Table1[[#This Row],[bike colour]])</f>
        <v>Road Bikes-red</v>
      </c>
    </row>
    <row r="681" spans="1:19" x14ac:dyDescent="0.3">
      <c r="A681" s="1">
        <v>44554</v>
      </c>
      <c r="B681">
        <v>24</v>
      </c>
      <c r="C681" t="s">
        <v>106</v>
      </c>
      <c r="D681">
        <v>2021</v>
      </c>
      <c r="E681">
        <v>19</v>
      </c>
      <c r="F681" t="s">
        <v>49</v>
      </c>
      <c r="G681" t="s">
        <v>120</v>
      </c>
      <c r="H681" t="s">
        <v>27</v>
      </c>
      <c r="I681" t="s">
        <v>30</v>
      </c>
      <c r="J681" t="s">
        <v>25</v>
      </c>
      <c r="K681" t="s">
        <v>31</v>
      </c>
      <c r="L681">
        <v>2</v>
      </c>
      <c r="M681" s="6">
        <v>713</v>
      </c>
      <c r="N681" s="6">
        <v>1120</v>
      </c>
      <c r="O681" s="6">
        <f>Table1[[#This Row],[Unit_Price]]*Table1[[#This Row],[Order_Quantity]]</f>
        <v>2240</v>
      </c>
      <c r="P681" s="6">
        <f>Table1[[#This Row],[Unit_Cost]]*Table1[[#This Row],[Order_Quantity]]</f>
        <v>1426</v>
      </c>
      <c r="Q681" s="4">
        <f>Table1[[#This Row],[total sales]]-Table1[[#This Row],[total cost]]</f>
        <v>814</v>
      </c>
      <c r="R681" s="6" t="s">
        <v>139</v>
      </c>
      <c r="S681" s="6" t="str">
        <f>_xlfn.CONCAT(Table1[[#This Row],[Sub_Category]],"-",Table1[[#This Row],[bike colour]])</f>
        <v>Mountain Bikes-silver</v>
      </c>
    </row>
    <row r="682" spans="1:19" x14ac:dyDescent="0.3">
      <c r="A682" s="1">
        <v>44554</v>
      </c>
      <c r="B682">
        <v>24</v>
      </c>
      <c r="C682" t="s">
        <v>106</v>
      </c>
      <c r="D682">
        <v>2021</v>
      </c>
      <c r="E682">
        <v>36</v>
      </c>
      <c r="F682" t="s">
        <v>14</v>
      </c>
      <c r="G682" t="s">
        <v>122</v>
      </c>
      <c r="H682" t="s">
        <v>27</v>
      </c>
      <c r="I682" t="s">
        <v>28</v>
      </c>
      <c r="J682" t="s">
        <v>17</v>
      </c>
      <c r="K682" t="s">
        <v>91</v>
      </c>
      <c r="L682">
        <v>2</v>
      </c>
      <c r="M682" s="6">
        <v>713</v>
      </c>
      <c r="N682" s="6">
        <v>1120</v>
      </c>
      <c r="O682" s="6">
        <f>Table1[[#This Row],[Unit_Price]]*Table1[[#This Row],[Order_Quantity]]</f>
        <v>2240</v>
      </c>
      <c r="P682" s="6">
        <f>Table1[[#This Row],[Unit_Cost]]*Table1[[#This Row],[Order_Quantity]]</f>
        <v>1426</v>
      </c>
      <c r="Q682" s="4">
        <f>Table1[[#This Row],[total sales]]-Table1[[#This Row],[total cost]]</f>
        <v>814</v>
      </c>
      <c r="R682" s="6" t="s">
        <v>136</v>
      </c>
      <c r="S682" s="6" t="str">
        <f>_xlfn.CONCAT(Table1[[#This Row],[Sub_Category]],"-",Table1[[#This Row],[bike colour]])</f>
        <v>Road Bikes-yellow</v>
      </c>
    </row>
    <row r="683" spans="1:19" x14ac:dyDescent="0.3">
      <c r="A683" s="1">
        <v>44554</v>
      </c>
      <c r="B683">
        <v>24</v>
      </c>
      <c r="C683" t="s">
        <v>106</v>
      </c>
      <c r="D683">
        <v>2021</v>
      </c>
      <c r="E683">
        <v>24</v>
      </c>
      <c r="F683" t="s">
        <v>49</v>
      </c>
      <c r="G683" t="s">
        <v>122</v>
      </c>
      <c r="H683" t="s">
        <v>23</v>
      </c>
      <c r="I683" t="s">
        <v>24</v>
      </c>
      <c r="J683" t="s">
        <v>17</v>
      </c>
      <c r="K683" t="s">
        <v>80</v>
      </c>
      <c r="L683">
        <v>1</v>
      </c>
      <c r="M683" s="6">
        <v>713</v>
      </c>
      <c r="N683" s="6">
        <v>1120</v>
      </c>
      <c r="O683" s="6">
        <f>Table1[[#This Row],[Unit_Price]]*Table1[[#This Row],[Order_Quantity]]</f>
        <v>1120</v>
      </c>
      <c r="P683" s="6">
        <f>Table1[[#This Row],[Unit_Cost]]*Table1[[#This Row],[Order_Quantity]]</f>
        <v>713</v>
      </c>
      <c r="Q683" s="4">
        <f>Table1[[#This Row],[total sales]]-Table1[[#This Row],[total cost]]</f>
        <v>407</v>
      </c>
      <c r="R683" s="6" t="s">
        <v>138</v>
      </c>
      <c r="S683" s="6" t="str">
        <f>_xlfn.CONCAT(Table1[[#This Row],[Sub_Category]],"-",Table1[[#This Row],[bike colour]])</f>
        <v>Road Bikes-black</v>
      </c>
    </row>
    <row r="684" spans="1:19" x14ac:dyDescent="0.3">
      <c r="A684" s="1">
        <v>44554</v>
      </c>
      <c r="B684">
        <v>24</v>
      </c>
      <c r="C684" t="s">
        <v>106</v>
      </c>
      <c r="D684">
        <v>2021</v>
      </c>
      <c r="E684">
        <v>27</v>
      </c>
      <c r="F684" t="s">
        <v>19</v>
      </c>
      <c r="G684" t="s">
        <v>122</v>
      </c>
      <c r="H684" t="s">
        <v>15</v>
      </c>
      <c r="I684" t="s">
        <v>16</v>
      </c>
      <c r="J684" t="s">
        <v>17</v>
      </c>
      <c r="K684" t="s">
        <v>81</v>
      </c>
      <c r="L684">
        <v>1</v>
      </c>
      <c r="M684" s="6">
        <v>713</v>
      </c>
      <c r="N684" s="6">
        <v>1120</v>
      </c>
      <c r="O684" s="6">
        <f>Table1[[#This Row],[Unit_Price]]*Table1[[#This Row],[Order_Quantity]]</f>
        <v>1120</v>
      </c>
      <c r="P684" s="6">
        <f>Table1[[#This Row],[Unit_Cost]]*Table1[[#This Row],[Order_Quantity]]</f>
        <v>713</v>
      </c>
      <c r="Q684" s="4">
        <f>Table1[[#This Row],[total sales]]-Table1[[#This Row],[total cost]]</f>
        <v>407</v>
      </c>
      <c r="R684" s="6" t="s">
        <v>136</v>
      </c>
      <c r="S684" s="6" t="str">
        <f>_xlfn.CONCAT(Table1[[#This Row],[Sub_Category]],"-",Table1[[#This Row],[bike colour]])</f>
        <v>Road Bikes-yellow</v>
      </c>
    </row>
    <row r="685" spans="1:19" x14ac:dyDescent="0.3">
      <c r="A685" s="1">
        <v>44554</v>
      </c>
      <c r="B685">
        <v>24</v>
      </c>
      <c r="C685" t="s">
        <v>106</v>
      </c>
      <c r="D685">
        <v>2021</v>
      </c>
      <c r="E685">
        <v>27</v>
      </c>
      <c r="F685" t="s">
        <v>19</v>
      </c>
      <c r="G685" t="s">
        <v>120</v>
      </c>
      <c r="H685" t="s">
        <v>50</v>
      </c>
      <c r="I685" t="s">
        <v>109</v>
      </c>
      <c r="J685" t="s">
        <v>17</v>
      </c>
      <c r="K685" t="s">
        <v>55</v>
      </c>
      <c r="L685">
        <v>1</v>
      </c>
      <c r="M685" s="6">
        <v>713</v>
      </c>
      <c r="N685" s="6">
        <v>1120</v>
      </c>
      <c r="O685" s="6">
        <f>Table1[[#This Row],[Unit_Price]]*Table1[[#This Row],[Order_Quantity]]</f>
        <v>1120</v>
      </c>
      <c r="P685" s="6">
        <f>Table1[[#This Row],[Unit_Cost]]*Table1[[#This Row],[Order_Quantity]]</f>
        <v>713</v>
      </c>
      <c r="Q685" s="4">
        <f>Table1[[#This Row],[total sales]]-Table1[[#This Row],[total cost]]</f>
        <v>407</v>
      </c>
      <c r="R685" s="6" t="s">
        <v>138</v>
      </c>
      <c r="S685" s="6" t="str">
        <f>_xlfn.CONCAT(Table1[[#This Row],[Sub_Category]],"-",Table1[[#This Row],[bike colour]])</f>
        <v>Road Bikes-black</v>
      </c>
    </row>
    <row r="686" spans="1:19" x14ac:dyDescent="0.3">
      <c r="A686" s="1">
        <v>44554</v>
      </c>
      <c r="B686">
        <v>24</v>
      </c>
      <c r="C686" t="s">
        <v>106</v>
      </c>
      <c r="D686">
        <v>2021</v>
      </c>
      <c r="E686">
        <v>29</v>
      </c>
      <c r="F686" t="s">
        <v>19</v>
      </c>
      <c r="G686" t="s">
        <v>122</v>
      </c>
      <c r="H686" t="s">
        <v>23</v>
      </c>
      <c r="I686" t="s">
        <v>24</v>
      </c>
      <c r="J686" t="s">
        <v>17</v>
      </c>
      <c r="K686" t="s">
        <v>64</v>
      </c>
      <c r="L686">
        <v>1</v>
      </c>
      <c r="M686" s="6">
        <v>713</v>
      </c>
      <c r="N686" s="6">
        <v>1120</v>
      </c>
      <c r="O686" s="6">
        <f>Table1[[#This Row],[Unit_Price]]*Table1[[#This Row],[Order_Quantity]]</f>
        <v>1120</v>
      </c>
      <c r="P686" s="6">
        <f>Table1[[#This Row],[Unit_Cost]]*Table1[[#This Row],[Order_Quantity]]</f>
        <v>713</v>
      </c>
      <c r="Q686" s="4">
        <f>Table1[[#This Row],[total sales]]-Table1[[#This Row],[total cost]]</f>
        <v>407</v>
      </c>
      <c r="R686" s="6" t="s">
        <v>136</v>
      </c>
      <c r="S686" s="6" t="str">
        <f>_xlfn.CONCAT(Table1[[#This Row],[Sub_Category]],"-",Table1[[#This Row],[bike colour]])</f>
        <v>Road Bikes-yellow</v>
      </c>
    </row>
    <row r="687" spans="1:19" x14ac:dyDescent="0.3">
      <c r="A687" s="1">
        <v>44554</v>
      </c>
      <c r="B687">
        <v>24</v>
      </c>
      <c r="C687" t="s">
        <v>106</v>
      </c>
      <c r="D687">
        <v>2021</v>
      </c>
      <c r="E687">
        <v>34</v>
      </c>
      <c r="F687" t="s">
        <v>19</v>
      </c>
      <c r="G687" t="s">
        <v>120</v>
      </c>
      <c r="H687" t="s">
        <v>15</v>
      </c>
      <c r="I687" t="s">
        <v>16</v>
      </c>
      <c r="J687" t="s">
        <v>25</v>
      </c>
      <c r="K687" t="s">
        <v>34</v>
      </c>
      <c r="L687">
        <v>1</v>
      </c>
      <c r="M687" s="6">
        <v>713</v>
      </c>
      <c r="N687" s="6">
        <v>1120</v>
      </c>
      <c r="O687" s="6">
        <f>Table1[[#This Row],[Unit_Price]]*Table1[[#This Row],[Order_Quantity]]</f>
        <v>1120</v>
      </c>
      <c r="P687" s="6">
        <f>Table1[[#This Row],[Unit_Cost]]*Table1[[#This Row],[Order_Quantity]]</f>
        <v>713</v>
      </c>
      <c r="Q687" s="4">
        <f>Table1[[#This Row],[total sales]]-Table1[[#This Row],[total cost]]</f>
        <v>407</v>
      </c>
      <c r="R687" s="6" t="s">
        <v>138</v>
      </c>
      <c r="S687" s="6" t="str">
        <f>_xlfn.CONCAT(Table1[[#This Row],[Sub_Category]],"-",Table1[[#This Row],[bike colour]])</f>
        <v>Mountain Bikes-black</v>
      </c>
    </row>
    <row r="688" spans="1:19" x14ac:dyDescent="0.3">
      <c r="A688" s="1">
        <v>44554</v>
      </c>
      <c r="B688">
        <v>24</v>
      </c>
      <c r="C688" t="s">
        <v>106</v>
      </c>
      <c r="D688">
        <v>2021</v>
      </c>
      <c r="E688">
        <v>36</v>
      </c>
      <c r="F688" t="s">
        <v>14</v>
      </c>
      <c r="G688" t="s">
        <v>122</v>
      </c>
      <c r="H688" t="s">
        <v>42</v>
      </c>
      <c r="I688" t="s">
        <v>86</v>
      </c>
      <c r="J688" t="s">
        <v>17</v>
      </c>
      <c r="K688" t="s">
        <v>44</v>
      </c>
      <c r="L688">
        <v>1</v>
      </c>
      <c r="M688" s="6">
        <v>713</v>
      </c>
      <c r="N688" s="6">
        <v>1120</v>
      </c>
      <c r="O688" s="6">
        <f>Table1[[#This Row],[Unit_Price]]*Table1[[#This Row],[Order_Quantity]]</f>
        <v>1120</v>
      </c>
      <c r="P688" s="6">
        <f>Table1[[#This Row],[Unit_Cost]]*Table1[[#This Row],[Order_Quantity]]</f>
        <v>713</v>
      </c>
      <c r="Q688" s="4">
        <f>Table1[[#This Row],[total sales]]-Table1[[#This Row],[total cost]]</f>
        <v>407</v>
      </c>
      <c r="R688" s="6" t="s">
        <v>136</v>
      </c>
      <c r="S688" s="6" t="str">
        <f>_xlfn.CONCAT(Table1[[#This Row],[Sub_Category]],"-",Table1[[#This Row],[bike colour]])</f>
        <v>Road Bikes-yellow</v>
      </c>
    </row>
    <row r="689" spans="1:19" x14ac:dyDescent="0.3">
      <c r="A689" s="1">
        <v>44554</v>
      </c>
      <c r="B689">
        <v>24</v>
      </c>
      <c r="C689" t="s">
        <v>106</v>
      </c>
      <c r="D689">
        <v>2021</v>
      </c>
      <c r="E689">
        <v>37</v>
      </c>
      <c r="F689" t="s">
        <v>14</v>
      </c>
      <c r="G689" t="s">
        <v>120</v>
      </c>
      <c r="H689" t="s">
        <v>27</v>
      </c>
      <c r="I689" t="s">
        <v>45</v>
      </c>
      <c r="J689" t="s">
        <v>25</v>
      </c>
      <c r="K689" t="s">
        <v>31</v>
      </c>
      <c r="L689">
        <v>1</v>
      </c>
      <c r="M689" s="6">
        <v>713</v>
      </c>
      <c r="N689" s="6">
        <v>1120</v>
      </c>
      <c r="O689" s="6">
        <f>Table1[[#This Row],[Unit_Price]]*Table1[[#This Row],[Order_Quantity]]</f>
        <v>1120</v>
      </c>
      <c r="P689" s="6">
        <f>Table1[[#This Row],[Unit_Cost]]*Table1[[#This Row],[Order_Quantity]]</f>
        <v>713</v>
      </c>
      <c r="Q689" s="4">
        <f>Table1[[#This Row],[total sales]]-Table1[[#This Row],[total cost]]</f>
        <v>407</v>
      </c>
      <c r="R689" s="6" t="s">
        <v>139</v>
      </c>
      <c r="S689" s="6" t="str">
        <f>_xlfn.CONCAT(Table1[[#This Row],[Sub_Category]],"-",Table1[[#This Row],[bike colour]])</f>
        <v>Mountain Bikes-silver</v>
      </c>
    </row>
    <row r="690" spans="1:19" x14ac:dyDescent="0.3">
      <c r="A690" s="1">
        <v>44554</v>
      </c>
      <c r="B690">
        <v>24</v>
      </c>
      <c r="C690" t="s">
        <v>106</v>
      </c>
      <c r="D690">
        <v>2021</v>
      </c>
      <c r="E690">
        <v>40</v>
      </c>
      <c r="F690" t="s">
        <v>14</v>
      </c>
      <c r="G690" t="s">
        <v>120</v>
      </c>
      <c r="H690" t="s">
        <v>42</v>
      </c>
      <c r="I690" t="s">
        <v>86</v>
      </c>
      <c r="J690" t="s">
        <v>25</v>
      </c>
      <c r="K690" t="s">
        <v>61</v>
      </c>
      <c r="L690">
        <v>1</v>
      </c>
      <c r="M690" s="6">
        <v>713</v>
      </c>
      <c r="N690" s="6">
        <v>1120</v>
      </c>
      <c r="O690" s="6">
        <f>Table1[[#This Row],[Unit_Price]]*Table1[[#This Row],[Order_Quantity]]</f>
        <v>1120</v>
      </c>
      <c r="P690" s="6">
        <f>Table1[[#This Row],[Unit_Cost]]*Table1[[#This Row],[Order_Quantity]]</f>
        <v>713</v>
      </c>
      <c r="Q690" s="4">
        <f>Table1[[#This Row],[total sales]]-Table1[[#This Row],[total cost]]</f>
        <v>407</v>
      </c>
      <c r="R690" s="6" t="s">
        <v>138</v>
      </c>
      <c r="S690" s="6" t="str">
        <f>_xlfn.CONCAT(Table1[[#This Row],[Sub_Category]],"-",Table1[[#This Row],[bike colour]])</f>
        <v>Mountain Bikes-black</v>
      </c>
    </row>
    <row r="691" spans="1:19" x14ac:dyDescent="0.3">
      <c r="A691" s="1">
        <v>44555</v>
      </c>
      <c r="B691">
        <v>25</v>
      </c>
      <c r="C691" t="s">
        <v>106</v>
      </c>
      <c r="D691">
        <v>2021</v>
      </c>
      <c r="E691">
        <v>31</v>
      </c>
      <c r="F691" t="s">
        <v>19</v>
      </c>
      <c r="G691" t="s">
        <v>122</v>
      </c>
      <c r="H691" t="s">
        <v>23</v>
      </c>
      <c r="I691" t="s">
        <v>24</v>
      </c>
      <c r="J691" t="s">
        <v>17</v>
      </c>
      <c r="K691" t="s">
        <v>29</v>
      </c>
      <c r="L691">
        <v>4</v>
      </c>
      <c r="M691" s="6">
        <v>713</v>
      </c>
      <c r="N691" s="6">
        <v>1120</v>
      </c>
      <c r="O691" s="6">
        <f>Table1[[#This Row],[Unit_Price]]*Table1[[#This Row],[Order_Quantity]]</f>
        <v>4480</v>
      </c>
      <c r="P691" s="6">
        <f>Table1[[#This Row],[Unit_Cost]]*Table1[[#This Row],[Order_Quantity]]</f>
        <v>2852</v>
      </c>
      <c r="Q691" s="4">
        <f>Table1[[#This Row],[total sales]]-Table1[[#This Row],[total cost]]</f>
        <v>1628</v>
      </c>
      <c r="R691" s="6" t="s">
        <v>136</v>
      </c>
      <c r="S691" s="6" t="str">
        <f>_xlfn.CONCAT(Table1[[#This Row],[Sub_Category]],"-",Table1[[#This Row],[bike colour]])</f>
        <v>Road Bikes-yellow</v>
      </c>
    </row>
    <row r="692" spans="1:19" x14ac:dyDescent="0.3">
      <c r="A692" s="1">
        <v>44555</v>
      </c>
      <c r="B692">
        <v>25</v>
      </c>
      <c r="C692" t="s">
        <v>106</v>
      </c>
      <c r="D692">
        <v>2021</v>
      </c>
      <c r="E692">
        <v>25</v>
      </c>
      <c r="F692" t="s">
        <v>19</v>
      </c>
      <c r="G692" t="s">
        <v>122</v>
      </c>
      <c r="H692" t="s">
        <v>42</v>
      </c>
      <c r="I692" t="s">
        <v>74</v>
      </c>
      <c r="J692" t="s">
        <v>17</v>
      </c>
      <c r="K692" t="s">
        <v>57</v>
      </c>
      <c r="L692">
        <v>3</v>
      </c>
      <c r="M692" s="6">
        <v>713</v>
      </c>
      <c r="N692" s="6">
        <v>1120</v>
      </c>
      <c r="O692" s="6">
        <f>Table1[[#This Row],[Unit_Price]]*Table1[[#This Row],[Order_Quantity]]</f>
        <v>3360</v>
      </c>
      <c r="P692" s="6">
        <f>Table1[[#This Row],[Unit_Cost]]*Table1[[#This Row],[Order_Quantity]]</f>
        <v>2139</v>
      </c>
      <c r="Q692" s="4">
        <f>Table1[[#This Row],[total sales]]-Table1[[#This Row],[total cost]]</f>
        <v>1221</v>
      </c>
      <c r="R692" s="6" t="s">
        <v>138</v>
      </c>
      <c r="S692" s="6" t="str">
        <f>_xlfn.CONCAT(Table1[[#This Row],[Sub_Category]],"-",Table1[[#This Row],[bike colour]])</f>
        <v>Road Bikes-black</v>
      </c>
    </row>
    <row r="693" spans="1:19" x14ac:dyDescent="0.3">
      <c r="A693" s="1">
        <v>44555</v>
      </c>
      <c r="B693">
        <v>25</v>
      </c>
      <c r="C693" t="s">
        <v>106</v>
      </c>
      <c r="D693">
        <v>2021</v>
      </c>
      <c r="E693">
        <v>37</v>
      </c>
      <c r="F693" t="s">
        <v>14</v>
      </c>
      <c r="G693" t="s">
        <v>120</v>
      </c>
      <c r="H693" t="s">
        <v>42</v>
      </c>
      <c r="I693" t="s">
        <v>58</v>
      </c>
      <c r="J693" t="s">
        <v>25</v>
      </c>
      <c r="K693" t="s">
        <v>31</v>
      </c>
      <c r="L693">
        <v>3</v>
      </c>
      <c r="M693" s="6">
        <v>713</v>
      </c>
      <c r="N693" s="6">
        <v>1120</v>
      </c>
      <c r="O693" s="6">
        <f>Table1[[#This Row],[Unit_Price]]*Table1[[#This Row],[Order_Quantity]]</f>
        <v>3360</v>
      </c>
      <c r="P693" s="6">
        <f>Table1[[#This Row],[Unit_Cost]]*Table1[[#This Row],[Order_Quantity]]</f>
        <v>2139</v>
      </c>
      <c r="Q693" s="4">
        <f>Table1[[#This Row],[total sales]]-Table1[[#This Row],[total cost]]</f>
        <v>1221</v>
      </c>
      <c r="R693" s="6" t="s">
        <v>139</v>
      </c>
      <c r="S693" s="6" t="str">
        <f>_xlfn.CONCAT(Table1[[#This Row],[Sub_Category]],"-",Table1[[#This Row],[bike colour]])</f>
        <v>Mountain Bikes-silver</v>
      </c>
    </row>
    <row r="694" spans="1:19" x14ac:dyDescent="0.3">
      <c r="A694" s="1">
        <v>44555</v>
      </c>
      <c r="B694">
        <v>25</v>
      </c>
      <c r="C694" t="s">
        <v>106</v>
      </c>
      <c r="D694">
        <v>2021</v>
      </c>
      <c r="E694">
        <v>38</v>
      </c>
      <c r="F694" t="s">
        <v>14</v>
      </c>
      <c r="G694" t="s">
        <v>120</v>
      </c>
      <c r="H694" t="s">
        <v>27</v>
      </c>
      <c r="I694" t="s">
        <v>45</v>
      </c>
      <c r="J694" t="s">
        <v>25</v>
      </c>
      <c r="K694" t="s">
        <v>31</v>
      </c>
      <c r="L694">
        <v>2</v>
      </c>
      <c r="M694" s="6">
        <v>713</v>
      </c>
      <c r="N694" s="6">
        <v>1120</v>
      </c>
      <c r="O694" s="6">
        <f>Table1[[#This Row],[Unit_Price]]*Table1[[#This Row],[Order_Quantity]]</f>
        <v>2240</v>
      </c>
      <c r="P694" s="6">
        <f>Table1[[#This Row],[Unit_Cost]]*Table1[[#This Row],[Order_Quantity]]</f>
        <v>1426</v>
      </c>
      <c r="Q694" s="4">
        <f>Table1[[#This Row],[total sales]]-Table1[[#This Row],[total cost]]</f>
        <v>814</v>
      </c>
      <c r="R694" s="6" t="s">
        <v>139</v>
      </c>
      <c r="S694" s="6" t="str">
        <f>_xlfn.CONCAT(Table1[[#This Row],[Sub_Category]],"-",Table1[[#This Row],[bike colour]])</f>
        <v>Mountain Bikes-silver</v>
      </c>
    </row>
    <row r="695" spans="1:19" x14ac:dyDescent="0.3">
      <c r="A695" s="1">
        <v>44555</v>
      </c>
      <c r="B695">
        <v>25</v>
      </c>
      <c r="C695" t="s">
        <v>106</v>
      </c>
      <c r="D695">
        <v>2021</v>
      </c>
      <c r="E695">
        <v>27</v>
      </c>
      <c r="F695" t="s">
        <v>19</v>
      </c>
      <c r="G695" t="s">
        <v>120</v>
      </c>
      <c r="H695" t="s">
        <v>50</v>
      </c>
      <c r="I695" t="s">
        <v>109</v>
      </c>
      <c r="J695" t="s">
        <v>17</v>
      </c>
      <c r="K695" t="s">
        <v>55</v>
      </c>
      <c r="L695">
        <v>1</v>
      </c>
      <c r="M695" s="6">
        <v>713</v>
      </c>
      <c r="N695" s="6">
        <v>1120</v>
      </c>
      <c r="O695" s="6">
        <f>Table1[[#This Row],[Unit_Price]]*Table1[[#This Row],[Order_Quantity]]</f>
        <v>1120</v>
      </c>
      <c r="P695" s="6">
        <f>Table1[[#This Row],[Unit_Cost]]*Table1[[#This Row],[Order_Quantity]]</f>
        <v>713</v>
      </c>
      <c r="Q695" s="4">
        <f>Table1[[#This Row],[total sales]]-Table1[[#This Row],[total cost]]</f>
        <v>407</v>
      </c>
      <c r="R695" s="6" t="s">
        <v>138</v>
      </c>
      <c r="S695" s="6" t="str">
        <f>_xlfn.CONCAT(Table1[[#This Row],[Sub_Category]],"-",Table1[[#This Row],[bike colour]])</f>
        <v>Road Bikes-black</v>
      </c>
    </row>
    <row r="696" spans="1:19" x14ac:dyDescent="0.3">
      <c r="A696" s="1">
        <v>44555</v>
      </c>
      <c r="B696">
        <v>25</v>
      </c>
      <c r="C696" t="s">
        <v>106</v>
      </c>
      <c r="D696">
        <v>2021</v>
      </c>
      <c r="E696">
        <v>34</v>
      </c>
      <c r="F696" t="s">
        <v>19</v>
      </c>
      <c r="G696" t="s">
        <v>120</v>
      </c>
      <c r="H696" t="s">
        <v>27</v>
      </c>
      <c r="I696" t="s">
        <v>28</v>
      </c>
      <c r="J696" t="s">
        <v>17</v>
      </c>
      <c r="K696" t="s">
        <v>59</v>
      </c>
      <c r="L696">
        <v>1</v>
      </c>
      <c r="M696" s="6">
        <v>713</v>
      </c>
      <c r="N696" s="6">
        <v>1120</v>
      </c>
      <c r="O696" s="6">
        <f>Table1[[#This Row],[Unit_Price]]*Table1[[#This Row],[Order_Quantity]]</f>
        <v>1120</v>
      </c>
      <c r="P696" s="6">
        <f>Table1[[#This Row],[Unit_Cost]]*Table1[[#This Row],[Order_Quantity]]</f>
        <v>713</v>
      </c>
      <c r="Q696" s="4">
        <f>Table1[[#This Row],[total sales]]-Table1[[#This Row],[total cost]]</f>
        <v>407</v>
      </c>
      <c r="R696" s="6" t="s">
        <v>137</v>
      </c>
      <c r="S696" s="6" t="str">
        <f>_xlfn.CONCAT(Table1[[#This Row],[Sub_Category]],"-",Table1[[#This Row],[bike colour]])</f>
        <v>Road Bikes-red</v>
      </c>
    </row>
    <row r="697" spans="1:19" x14ac:dyDescent="0.3">
      <c r="A697" s="1">
        <v>44555</v>
      </c>
      <c r="B697">
        <v>25</v>
      </c>
      <c r="C697" t="s">
        <v>106</v>
      </c>
      <c r="D697">
        <v>2021</v>
      </c>
      <c r="E697">
        <v>44</v>
      </c>
      <c r="F697" t="s">
        <v>14</v>
      </c>
      <c r="G697" t="s">
        <v>122</v>
      </c>
      <c r="H697" t="s">
        <v>15</v>
      </c>
      <c r="I697" t="s">
        <v>16</v>
      </c>
      <c r="J697" t="s">
        <v>17</v>
      </c>
      <c r="K697" t="s">
        <v>41</v>
      </c>
      <c r="L697">
        <v>1</v>
      </c>
      <c r="M697" s="6">
        <v>713</v>
      </c>
      <c r="N697" s="6">
        <v>1120</v>
      </c>
      <c r="O697" s="6">
        <f>Table1[[#This Row],[Unit_Price]]*Table1[[#This Row],[Order_Quantity]]</f>
        <v>1120</v>
      </c>
      <c r="P697" s="6">
        <f>Table1[[#This Row],[Unit_Cost]]*Table1[[#This Row],[Order_Quantity]]</f>
        <v>713</v>
      </c>
      <c r="Q697" s="4">
        <f>Table1[[#This Row],[total sales]]-Table1[[#This Row],[total cost]]</f>
        <v>407</v>
      </c>
      <c r="R697" s="6" t="s">
        <v>138</v>
      </c>
      <c r="S697" s="6" t="str">
        <f>_xlfn.CONCAT(Table1[[#This Row],[Sub_Category]],"-",Table1[[#This Row],[bike colour]])</f>
        <v>Road Bikes-black</v>
      </c>
    </row>
    <row r="698" spans="1:19" x14ac:dyDescent="0.3">
      <c r="A698" s="1">
        <v>44555</v>
      </c>
      <c r="B698">
        <v>25</v>
      </c>
      <c r="C698" t="s">
        <v>106</v>
      </c>
      <c r="D698">
        <v>2021</v>
      </c>
      <c r="E698">
        <v>50</v>
      </c>
      <c r="F698" t="s">
        <v>14</v>
      </c>
      <c r="G698" t="s">
        <v>122</v>
      </c>
      <c r="H698" t="s">
        <v>27</v>
      </c>
      <c r="I698" t="s">
        <v>33</v>
      </c>
      <c r="J698" t="s">
        <v>17</v>
      </c>
      <c r="K698" t="s">
        <v>55</v>
      </c>
      <c r="L698">
        <v>1</v>
      </c>
      <c r="M698" s="6">
        <v>713</v>
      </c>
      <c r="N698" s="6">
        <v>1120</v>
      </c>
      <c r="O698" s="6">
        <f>Table1[[#This Row],[Unit_Price]]*Table1[[#This Row],[Order_Quantity]]</f>
        <v>1120</v>
      </c>
      <c r="P698" s="6">
        <f>Table1[[#This Row],[Unit_Cost]]*Table1[[#This Row],[Order_Quantity]]</f>
        <v>713</v>
      </c>
      <c r="Q698" s="4">
        <f>Table1[[#This Row],[total sales]]-Table1[[#This Row],[total cost]]</f>
        <v>407</v>
      </c>
      <c r="R698" s="6" t="s">
        <v>138</v>
      </c>
      <c r="S698" s="6" t="str">
        <f>_xlfn.CONCAT(Table1[[#This Row],[Sub_Category]],"-",Table1[[#This Row],[bike colour]])</f>
        <v>Road Bikes-black</v>
      </c>
    </row>
    <row r="699" spans="1:19" x14ac:dyDescent="0.3">
      <c r="A699" s="1">
        <v>44556</v>
      </c>
      <c r="B699">
        <v>26</v>
      </c>
      <c r="C699" t="s">
        <v>106</v>
      </c>
      <c r="D699">
        <v>2021</v>
      </c>
      <c r="E699">
        <v>38</v>
      </c>
      <c r="F699" t="s">
        <v>14</v>
      </c>
      <c r="G699" t="s">
        <v>120</v>
      </c>
      <c r="H699" t="s">
        <v>27</v>
      </c>
      <c r="I699" t="s">
        <v>28</v>
      </c>
      <c r="J699" t="s">
        <v>25</v>
      </c>
      <c r="K699" t="s">
        <v>26</v>
      </c>
      <c r="L699">
        <v>3</v>
      </c>
      <c r="M699" s="6">
        <v>713</v>
      </c>
      <c r="N699" s="6">
        <v>1120</v>
      </c>
      <c r="O699" s="6">
        <f>Table1[[#This Row],[Unit_Price]]*Table1[[#This Row],[Order_Quantity]]</f>
        <v>3360</v>
      </c>
      <c r="P699" s="6">
        <f>Table1[[#This Row],[Unit_Cost]]*Table1[[#This Row],[Order_Quantity]]</f>
        <v>2139</v>
      </c>
      <c r="Q699" s="4">
        <f>Table1[[#This Row],[total sales]]-Table1[[#This Row],[total cost]]</f>
        <v>1221</v>
      </c>
      <c r="R699" s="6" t="s">
        <v>138</v>
      </c>
      <c r="S699" s="6" t="str">
        <f>_xlfn.CONCAT(Table1[[#This Row],[Sub_Category]],"-",Table1[[#This Row],[bike colour]])</f>
        <v>Mountain Bikes-black</v>
      </c>
    </row>
    <row r="700" spans="1:19" x14ac:dyDescent="0.3">
      <c r="A700" s="1">
        <v>44556</v>
      </c>
      <c r="B700">
        <v>26</v>
      </c>
      <c r="C700" t="s">
        <v>106</v>
      </c>
      <c r="D700">
        <v>2021</v>
      </c>
      <c r="E700">
        <v>30</v>
      </c>
      <c r="F700" t="s">
        <v>19</v>
      </c>
      <c r="G700" t="s">
        <v>122</v>
      </c>
      <c r="H700" t="s">
        <v>15</v>
      </c>
      <c r="I700" t="s">
        <v>16</v>
      </c>
      <c r="J700" t="s">
        <v>25</v>
      </c>
      <c r="K700" t="s">
        <v>67</v>
      </c>
      <c r="L700">
        <v>2</v>
      </c>
      <c r="M700" s="6">
        <v>713</v>
      </c>
      <c r="N700" s="6">
        <v>1120</v>
      </c>
      <c r="O700" s="6">
        <f>Table1[[#This Row],[Unit_Price]]*Table1[[#This Row],[Order_Quantity]]</f>
        <v>2240</v>
      </c>
      <c r="P700" s="6">
        <f>Table1[[#This Row],[Unit_Cost]]*Table1[[#This Row],[Order_Quantity]]</f>
        <v>1426</v>
      </c>
      <c r="Q700" s="4">
        <f>Table1[[#This Row],[total sales]]-Table1[[#This Row],[total cost]]</f>
        <v>814</v>
      </c>
      <c r="R700" s="6" t="s">
        <v>139</v>
      </c>
      <c r="S700" s="6" t="str">
        <f>_xlfn.CONCAT(Table1[[#This Row],[Sub_Category]],"-",Table1[[#This Row],[bike colour]])</f>
        <v>Mountain Bikes-silver</v>
      </c>
    </row>
    <row r="701" spans="1:19" x14ac:dyDescent="0.3">
      <c r="A701" s="1">
        <v>44556</v>
      </c>
      <c r="B701">
        <v>26</v>
      </c>
      <c r="C701" t="s">
        <v>106</v>
      </c>
      <c r="D701">
        <v>2021</v>
      </c>
      <c r="E701">
        <v>54</v>
      </c>
      <c r="F701" t="s">
        <v>14</v>
      </c>
      <c r="G701" t="s">
        <v>122</v>
      </c>
      <c r="H701" t="s">
        <v>27</v>
      </c>
      <c r="I701" t="s">
        <v>45</v>
      </c>
      <c r="J701" t="s">
        <v>25</v>
      </c>
      <c r="K701" t="s">
        <v>26</v>
      </c>
      <c r="L701">
        <v>2</v>
      </c>
      <c r="M701" s="6">
        <v>713</v>
      </c>
      <c r="N701" s="6">
        <v>1120</v>
      </c>
      <c r="O701" s="6">
        <f>Table1[[#This Row],[Unit_Price]]*Table1[[#This Row],[Order_Quantity]]</f>
        <v>2240</v>
      </c>
      <c r="P701" s="6">
        <f>Table1[[#This Row],[Unit_Cost]]*Table1[[#This Row],[Order_Quantity]]</f>
        <v>1426</v>
      </c>
      <c r="Q701" s="4">
        <f>Table1[[#This Row],[total sales]]-Table1[[#This Row],[total cost]]</f>
        <v>814</v>
      </c>
      <c r="R701" s="6" t="s">
        <v>138</v>
      </c>
      <c r="S701" s="6" t="str">
        <f>_xlfn.CONCAT(Table1[[#This Row],[Sub_Category]],"-",Table1[[#This Row],[bike colour]])</f>
        <v>Mountain Bikes-black</v>
      </c>
    </row>
    <row r="702" spans="1:19" x14ac:dyDescent="0.3">
      <c r="A702" s="1">
        <v>44556</v>
      </c>
      <c r="B702">
        <v>26</v>
      </c>
      <c r="C702" t="s">
        <v>106</v>
      </c>
      <c r="D702">
        <v>2021</v>
      </c>
      <c r="E702">
        <v>24</v>
      </c>
      <c r="F702" t="s">
        <v>49</v>
      </c>
      <c r="G702" t="s">
        <v>122</v>
      </c>
      <c r="H702" t="s">
        <v>20</v>
      </c>
      <c r="I702" t="s">
        <v>21</v>
      </c>
      <c r="J702" t="s">
        <v>17</v>
      </c>
      <c r="K702" t="s">
        <v>64</v>
      </c>
      <c r="L702">
        <v>1</v>
      </c>
      <c r="M702" s="6">
        <v>713</v>
      </c>
      <c r="N702" s="6">
        <v>1120</v>
      </c>
      <c r="O702" s="6">
        <f>Table1[[#This Row],[Unit_Price]]*Table1[[#This Row],[Order_Quantity]]</f>
        <v>1120</v>
      </c>
      <c r="P702" s="6">
        <f>Table1[[#This Row],[Unit_Cost]]*Table1[[#This Row],[Order_Quantity]]</f>
        <v>713</v>
      </c>
      <c r="Q702" s="4">
        <f>Table1[[#This Row],[total sales]]-Table1[[#This Row],[total cost]]</f>
        <v>407</v>
      </c>
      <c r="R702" s="6" t="s">
        <v>136</v>
      </c>
      <c r="S702" s="6" t="str">
        <f>_xlfn.CONCAT(Table1[[#This Row],[Sub_Category]],"-",Table1[[#This Row],[bike colour]])</f>
        <v>Road Bikes-yellow</v>
      </c>
    </row>
    <row r="703" spans="1:19" x14ac:dyDescent="0.3">
      <c r="A703" s="1">
        <v>44556</v>
      </c>
      <c r="B703">
        <v>26</v>
      </c>
      <c r="C703" t="s">
        <v>106</v>
      </c>
      <c r="D703">
        <v>2021</v>
      </c>
      <c r="E703">
        <v>25</v>
      </c>
      <c r="F703" t="s">
        <v>19</v>
      </c>
      <c r="G703" t="s">
        <v>120</v>
      </c>
      <c r="H703" t="s">
        <v>23</v>
      </c>
      <c r="I703" t="s">
        <v>24</v>
      </c>
      <c r="J703" t="s">
        <v>25</v>
      </c>
      <c r="K703" t="s">
        <v>34</v>
      </c>
      <c r="L703">
        <v>1</v>
      </c>
      <c r="M703" s="6">
        <v>713</v>
      </c>
      <c r="N703" s="6">
        <v>1120</v>
      </c>
      <c r="O703" s="6">
        <f>Table1[[#This Row],[Unit_Price]]*Table1[[#This Row],[Order_Quantity]]</f>
        <v>1120</v>
      </c>
      <c r="P703" s="6">
        <f>Table1[[#This Row],[Unit_Cost]]*Table1[[#This Row],[Order_Quantity]]</f>
        <v>713</v>
      </c>
      <c r="Q703" s="4">
        <f>Table1[[#This Row],[total sales]]-Table1[[#This Row],[total cost]]</f>
        <v>407</v>
      </c>
      <c r="R703" s="6" t="s">
        <v>138</v>
      </c>
      <c r="S703" s="6" t="str">
        <f>_xlfn.CONCAT(Table1[[#This Row],[Sub_Category]],"-",Table1[[#This Row],[bike colour]])</f>
        <v>Mountain Bikes-black</v>
      </c>
    </row>
    <row r="704" spans="1:19" x14ac:dyDescent="0.3">
      <c r="A704" s="1">
        <v>44556</v>
      </c>
      <c r="B704">
        <v>26</v>
      </c>
      <c r="C704" t="s">
        <v>106</v>
      </c>
      <c r="D704">
        <v>2021</v>
      </c>
      <c r="E704">
        <v>28</v>
      </c>
      <c r="F704" t="s">
        <v>19</v>
      </c>
      <c r="G704" t="s">
        <v>122</v>
      </c>
      <c r="H704" t="s">
        <v>50</v>
      </c>
      <c r="I704" t="s">
        <v>90</v>
      </c>
      <c r="J704" t="s">
        <v>17</v>
      </c>
      <c r="K704" t="s">
        <v>37</v>
      </c>
      <c r="L704">
        <v>1</v>
      </c>
      <c r="M704" s="6">
        <v>713</v>
      </c>
      <c r="N704" s="6">
        <v>1120</v>
      </c>
      <c r="O704" s="6">
        <f>Table1[[#This Row],[Unit_Price]]*Table1[[#This Row],[Order_Quantity]]</f>
        <v>1120</v>
      </c>
      <c r="P704" s="6">
        <f>Table1[[#This Row],[Unit_Cost]]*Table1[[#This Row],[Order_Quantity]]</f>
        <v>713</v>
      </c>
      <c r="Q704" s="4">
        <f>Table1[[#This Row],[total sales]]-Table1[[#This Row],[total cost]]</f>
        <v>407</v>
      </c>
      <c r="R704" s="6" t="s">
        <v>137</v>
      </c>
      <c r="S704" s="6" t="str">
        <f>_xlfn.CONCAT(Table1[[#This Row],[Sub_Category]],"-",Table1[[#This Row],[bike colour]])</f>
        <v>Road Bikes-red</v>
      </c>
    </row>
    <row r="705" spans="1:19" x14ac:dyDescent="0.3">
      <c r="A705" s="1">
        <v>44556</v>
      </c>
      <c r="B705">
        <v>26</v>
      </c>
      <c r="C705" t="s">
        <v>106</v>
      </c>
      <c r="D705">
        <v>2021</v>
      </c>
      <c r="E705">
        <v>34</v>
      </c>
      <c r="F705" t="s">
        <v>19</v>
      </c>
      <c r="G705" t="s">
        <v>122</v>
      </c>
      <c r="H705" t="s">
        <v>15</v>
      </c>
      <c r="I705" t="s">
        <v>16</v>
      </c>
      <c r="J705" t="s">
        <v>25</v>
      </c>
      <c r="K705" t="s">
        <v>113</v>
      </c>
      <c r="L705">
        <v>1</v>
      </c>
      <c r="M705" s="6">
        <v>713</v>
      </c>
      <c r="N705" s="6">
        <v>1120</v>
      </c>
      <c r="O705" s="6">
        <f>Table1[[#This Row],[Unit_Price]]*Table1[[#This Row],[Order_Quantity]]</f>
        <v>1120</v>
      </c>
      <c r="P705" s="6">
        <f>Table1[[#This Row],[Unit_Cost]]*Table1[[#This Row],[Order_Quantity]]</f>
        <v>713</v>
      </c>
      <c r="Q705" s="4">
        <f>Table1[[#This Row],[total sales]]-Table1[[#This Row],[total cost]]</f>
        <v>407</v>
      </c>
      <c r="R705" s="6" t="s">
        <v>138</v>
      </c>
      <c r="S705" s="6" t="str">
        <f>_xlfn.CONCAT(Table1[[#This Row],[Sub_Category]],"-",Table1[[#This Row],[bike colour]])</f>
        <v>Mountain Bikes-black</v>
      </c>
    </row>
    <row r="706" spans="1:19" x14ac:dyDescent="0.3">
      <c r="A706" s="1">
        <v>44556</v>
      </c>
      <c r="B706">
        <v>26</v>
      </c>
      <c r="C706" t="s">
        <v>106</v>
      </c>
      <c r="D706">
        <v>2021</v>
      </c>
      <c r="E706">
        <v>42</v>
      </c>
      <c r="F706" t="s">
        <v>14</v>
      </c>
      <c r="G706" t="s">
        <v>122</v>
      </c>
      <c r="H706" t="s">
        <v>15</v>
      </c>
      <c r="I706" t="s">
        <v>47</v>
      </c>
      <c r="J706" t="s">
        <v>17</v>
      </c>
      <c r="K706" t="s">
        <v>80</v>
      </c>
      <c r="L706">
        <v>1</v>
      </c>
      <c r="M706" s="6">
        <v>713</v>
      </c>
      <c r="N706" s="6">
        <v>1120</v>
      </c>
      <c r="O706" s="6">
        <f>Table1[[#This Row],[Unit_Price]]*Table1[[#This Row],[Order_Quantity]]</f>
        <v>1120</v>
      </c>
      <c r="P706" s="6">
        <f>Table1[[#This Row],[Unit_Cost]]*Table1[[#This Row],[Order_Quantity]]</f>
        <v>713</v>
      </c>
      <c r="Q706" s="4">
        <f>Table1[[#This Row],[total sales]]-Table1[[#This Row],[total cost]]</f>
        <v>407</v>
      </c>
      <c r="R706" s="6" t="s">
        <v>138</v>
      </c>
      <c r="S706" s="6" t="str">
        <f>_xlfn.CONCAT(Table1[[#This Row],[Sub_Category]],"-",Table1[[#This Row],[bike colour]])</f>
        <v>Road Bikes-black</v>
      </c>
    </row>
    <row r="707" spans="1:19" x14ac:dyDescent="0.3">
      <c r="A707" s="1">
        <v>44557</v>
      </c>
      <c r="B707">
        <v>27</v>
      </c>
      <c r="C707" t="s">
        <v>106</v>
      </c>
      <c r="D707">
        <v>2021</v>
      </c>
      <c r="E707">
        <v>26</v>
      </c>
      <c r="F707" t="s">
        <v>19</v>
      </c>
      <c r="G707" t="s">
        <v>120</v>
      </c>
      <c r="H707" t="s">
        <v>27</v>
      </c>
      <c r="I707" t="s">
        <v>45</v>
      </c>
      <c r="J707" t="s">
        <v>17</v>
      </c>
      <c r="K707" t="s">
        <v>54</v>
      </c>
      <c r="L707">
        <v>4</v>
      </c>
      <c r="M707" s="6">
        <v>713</v>
      </c>
      <c r="N707" s="6">
        <v>1120</v>
      </c>
      <c r="O707" s="6">
        <f>Table1[[#This Row],[Unit_Price]]*Table1[[#This Row],[Order_Quantity]]</f>
        <v>4480</v>
      </c>
      <c r="P707" s="6">
        <f>Table1[[#This Row],[Unit_Cost]]*Table1[[#This Row],[Order_Quantity]]</f>
        <v>2852</v>
      </c>
      <c r="Q707" s="4">
        <f>Table1[[#This Row],[total sales]]-Table1[[#This Row],[total cost]]</f>
        <v>1628</v>
      </c>
      <c r="R707" s="6" t="s">
        <v>137</v>
      </c>
      <c r="S707" s="6" t="str">
        <f>_xlfn.CONCAT(Table1[[#This Row],[Sub_Category]],"-",Table1[[#This Row],[bike colour]])</f>
        <v>Road Bikes-red</v>
      </c>
    </row>
    <row r="708" spans="1:19" x14ac:dyDescent="0.3">
      <c r="A708" s="1">
        <v>44557</v>
      </c>
      <c r="B708">
        <v>27</v>
      </c>
      <c r="C708" t="s">
        <v>106</v>
      </c>
      <c r="D708">
        <v>2021</v>
      </c>
      <c r="E708">
        <v>37</v>
      </c>
      <c r="F708" t="s">
        <v>14</v>
      </c>
      <c r="G708" t="s">
        <v>122</v>
      </c>
      <c r="H708" t="s">
        <v>20</v>
      </c>
      <c r="I708" t="s">
        <v>21</v>
      </c>
      <c r="J708" t="s">
        <v>17</v>
      </c>
      <c r="K708" t="s">
        <v>80</v>
      </c>
      <c r="L708">
        <v>2</v>
      </c>
      <c r="M708" s="6">
        <v>713</v>
      </c>
      <c r="N708" s="6">
        <v>1120</v>
      </c>
      <c r="O708" s="6">
        <f>Table1[[#This Row],[Unit_Price]]*Table1[[#This Row],[Order_Quantity]]</f>
        <v>2240</v>
      </c>
      <c r="P708" s="6">
        <f>Table1[[#This Row],[Unit_Cost]]*Table1[[#This Row],[Order_Quantity]]</f>
        <v>1426</v>
      </c>
      <c r="Q708" s="4">
        <f>Table1[[#This Row],[total sales]]-Table1[[#This Row],[total cost]]</f>
        <v>814</v>
      </c>
      <c r="R708" s="6" t="s">
        <v>138</v>
      </c>
      <c r="S708" s="6" t="str">
        <f>_xlfn.CONCAT(Table1[[#This Row],[Sub_Category]],"-",Table1[[#This Row],[bike colour]])</f>
        <v>Road Bikes-black</v>
      </c>
    </row>
    <row r="709" spans="1:19" x14ac:dyDescent="0.3">
      <c r="A709" s="1">
        <v>44557</v>
      </c>
      <c r="B709">
        <v>27</v>
      </c>
      <c r="C709" t="s">
        <v>106</v>
      </c>
      <c r="D709">
        <v>2021</v>
      </c>
      <c r="E709">
        <v>44</v>
      </c>
      <c r="F709" t="s">
        <v>14</v>
      </c>
      <c r="G709" t="s">
        <v>122</v>
      </c>
      <c r="H709" t="s">
        <v>23</v>
      </c>
      <c r="I709" t="s">
        <v>24</v>
      </c>
      <c r="J709" t="s">
        <v>25</v>
      </c>
      <c r="K709" t="s">
        <v>56</v>
      </c>
      <c r="L709">
        <v>2</v>
      </c>
      <c r="M709" s="6">
        <v>713</v>
      </c>
      <c r="N709" s="6">
        <v>1120</v>
      </c>
      <c r="O709" s="6">
        <f>Table1[[#This Row],[Unit_Price]]*Table1[[#This Row],[Order_Quantity]]</f>
        <v>2240</v>
      </c>
      <c r="P709" s="6">
        <f>Table1[[#This Row],[Unit_Cost]]*Table1[[#This Row],[Order_Quantity]]</f>
        <v>1426</v>
      </c>
      <c r="Q709" s="4">
        <f>Table1[[#This Row],[total sales]]-Table1[[#This Row],[total cost]]</f>
        <v>814</v>
      </c>
      <c r="R709" s="6" t="s">
        <v>139</v>
      </c>
      <c r="S709" s="6" t="str">
        <f>_xlfn.CONCAT(Table1[[#This Row],[Sub_Category]],"-",Table1[[#This Row],[bike colour]])</f>
        <v>Mountain Bikes-silver</v>
      </c>
    </row>
    <row r="710" spans="1:19" x14ac:dyDescent="0.3">
      <c r="A710" s="1">
        <v>44557</v>
      </c>
      <c r="B710">
        <v>27</v>
      </c>
      <c r="C710" t="s">
        <v>106</v>
      </c>
      <c r="D710">
        <v>2021</v>
      </c>
      <c r="E710">
        <v>26</v>
      </c>
      <c r="F710" t="s">
        <v>19</v>
      </c>
      <c r="G710" t="s">
        <v>122</v>
      </c>
      <c r="H710" t="s">
        <v>50</v>
      </c>
      <c r="I710" t="s">
        <v>93</v>
      </c>
      <c r="J710" t="s">
        <v>17</v>
      </c>
      <c r="K710" t="s">
        <v>57</v>
      </c>
      <c r="L710">
        <v>1</v>
      </c>
      <c r="M710" s="6">
        <v>713</v>
      </c>
      <c r="N710" s="6">
        <v>1120</v>
      </c>
      <c r="O710" s="6">
        <f>Table1[[#This Row],[Unit_Price]]*Table1[[#This Row],[Order_Quantity]]</f>
        <v>1120</v>
      </c>
      <c r="P710" s="6">
        <f>Table1[[#This Row],[Unit_Cost]]*Table1[[#This Row],[Order_Quantity]]</f>
        <v>713</v>
      </c>
      <c r="Q710" s="4">
        <f>Table1[[#This Row],[total sales]]-Table1[[#This Row],[total cost]]</f>
        <v>407</v>
      </c>
      <c r="R710" s="6" t="s">
        <v>138</v>
      </c>
      <c r="S710" s="6" t="str">
        <f>_xlfn.CONCAT(Table1[[#This Row],[Sub_Category]],"-",Table1[[#This Row],[bike colour]])</f>
        <v>Road Bikes-black</v>
      </c>
    </row>
    <row r="711" spans="1:19" x14ac:dyDescent="0.3">
      <c r="A711" s="1">
        <v>44557</v>
      </c>
      <c r="B711">
        <v>27</v>
      </c>
      <c r="C711" t="s">
        <v>106</v>
      </c>
      <c r="D711">
        <v>2021</v>
      </c>
      <c r="E711">
        <v>36</v>
      </c>
      <c r="F711" t="s">
        <v>14</v>
      </c>
      <c r="G711" t="s">
        <v>120</v>
      </c>
      <c r="H711" t="s">
        <v>42</v>
      </c>
      <c r="I711" t="s">
        <v>86</v>
      </c>
      <c r="J711" t="s">
        <v>17</v>
      </c>
      <c r="K711" t="s">
        <v>52</v>
      </c>
      <c r="L711">
        <v>1</v>
      </c>
      <c r="M711" s="6">
        <v>713</v>
      </c>
      <c r="N711" s="6">
        <v>1120</v>
      </c>
      <c r="O711" s="6">
        <f>Table1[[#This Row],[Unit_Price]]*Table1[[#This Row],[Order_Quantity]]</f>
        <v>1120</v>
      </c>
      <c r="P711" s="6">
        <f>Table1[[#This Row],[Unit_Cost]]*Table1[[#This Row],[Order_Quantity]]</f>
        <v>713</v>
      </c>
      <c r="Q711" s="4">
        <f>Table1[[#This Row],[total sales]]-Table1[[#This Row],[total cost]]</f>
        <v>407</v>
      </c>
      <c r="R711" s="6" t="s">
        <v>138</v>
      </c>
      <c r="S711" s="6" t="str">
        <f>_xlfn.CONCAT(Table1[[#This Row],[Sub_Category]],"-",Table1[[#This Row],[bike colour]])</f>
        <v>Road Bikes-black</v>
      </c>
    </row>
    <row r="712" spans="1:19" x14ac:dyDescent="0.3">
      <c r="A712" s="1">
        <v>44557</v>
      </c>
      <c r="B712">
        <v>27</v>
      </c>
      <c r="C712" t="s">
        <v>106</v>
      </c>
      <c r="D712">
        <v>2021</v>
      </c>
      <c r="E712">
        <v>38</v>
      </c>
      <c r="F712" t="s">
        <v>14</v>
      </c>
      <c r="G712" t="s">
        <v>122</v>
      </c>
      <c r="H712" t="s">
        <v>27</v>
      </c>
      <c r="I712" t="s">
        <v>45</v>
      </c>
      <c r="J712" t="s">
        <v>25</v>
      </c>
      <c r="K712" t="s">
        <v>56</v>
      </c>
      <c r="L712">
        <v>1</v>
      </c>
      <c r="M712" s="6">
        <v>713</v>
      </c>
      <c r="N712" s="6">
        <v>1120</v>
      </c>
      <c r="O712" s="6">
        <f>Table1[[#This Row],[Unit_Price]]*Table1[[#This Row],[Order_Quantity]]</f>
        <v>1120</v>
      </c>
      <c r="P712" s="6">
        <f>Table1[[#This Row],[Unit_Cost]]*Table1[[#This Row],[Order_Quantity]]</f>
        <v>713</v>
      </c>
      <c r="Q712" s="4">
        <f>Table1[[#This Row],[total sales]]-Table1[[#This Row],[total cost]]</f>
        <v>407</v>
      </c>
      <c r="R712" s="6" t="s">
        <v>139</v>
      </c>
      <c r="S712" s="6" t="str">
        <f>_xlfn.CONCAT(Table1[[#This Row],[Sub_Category]],"-",Table1[[#This Row],[bike colour]])</f>
        <v>Mountain Bikes-silver</v>
      </c>
    </row>
    <row r="713" spans="1:19" x14ac:dyDescent="0.3">
      <c r="A713" s="1">
        <v>44557</v>
      </c>
      <c r="B713">
        <v>27</v>
      </c>
      <c r="C713" t="s">
        <v>106</v>
      </c>
      <c r="D713">
        <v>2021</v>
      </c>
      <c r="E713">
        <v>41</v>
      </c>
      <c r="F713" t="s">
        <v>14</v>
      </c>
      <c r="G713" t="s">
        <v>120</v>
      </c>
      <c r="H713" t="s">
        <v>27</v>
      </c>
      <c r="I713" t="s">
        <v>45</v>
      </c>
      <c r="J713" t="s">
        <v>17</v>
      </c>
      <c r="K713" t="s">
        <v>54</v>
      </c>
      <c r="L713">
        <v>1</v>
      </c>
      <c r="M713" s="6">
        <v>713</v>
      </c>
      <c r="N713" s="6">
        <v>1120</v>
      </c>
      <c r="O713" s="6">
        <f>Table1[[#This Row],[Unit_Price]]*Table1[[#This Row],[Order_Quantity]]</f>
        <v>1120</v>
      </c>
      <c r="P713" s="6">
        <f>Table1[[#This Row],[Unit_Cost]]*Table1[[#This Row],[Order_Quantity]]</f>
        <v>713</v>
      </c>
      <c r="Q713" s="4">
        <f>Table1[[#This Row],[total sales]]-Table1[[#This Row],[total cost]]</f>
        <v>407</v>
      </c>
      <c r="R713" s="6" t="s">
        <v>137</v>
      </c>
      <c r="S713" s="6" t="str">
        <f>_xlfn.CONCAT(Table1[[#This Row],[Sub_Category]],"-",Table1[[#This Row],[bike colour]])</f>
        <v>Road Bikes-red</v>
      </c>
    </row>
    <row r="714" spans="1:19" x14ac:dyDescent="0.3">
      <c r="A714" s="1">
        <v>44557</v>
      </c>
      <c r="B714">
        <v>27</v>
      </c>
      <c r="C714" t="s">
        <v>106</v>
      </c>
      <c r="D714">
        <v>2021</v>
      </c>
      <c r="E714">
        <v>42</v>
      </c>
      <c r="F714" t="s">
        <v>14</v>
      </c>
      <c r="G714" t="s">
        <v>120</v>
      </c>
      <c r="H714" t="s">
        <v>15</v>
      </c>
      <c r="I714" t="s">
        <v>16</v>
      </c>
      <c r="J714" t="s">
        <v>17</v>
      </c>
      <c r="K714" t="s">
        <v>57</v>
      </c>
      <c r="L714">
        <v>1</v>
      </c>
      <c r="M714" s="6">
        <v>713</v>
      </c>
      <c r="N714" s="6">
        <v>1120</v>
      </c>
      <c r="O714" s="6">
        <f>Table1[[#This Row],[Unit_Price]]*Table1[[#This Row],[Order_Quantity]]</f>
        <v>1120</v>
      </c>
      <c r="P714" s="6">
        <f>Table1[[#This Row],[Unit_Cost]]*Table1[[#This Row],[Order_Quantity]]</f>
        <v>713</v>
      </c>
      <c r="Q714" s="4">
        <f>Table1[[#This Row],[total sales]]-Table1[[#This Row],[total cost]]</f>
        <v>407</v>
      </c>
      <c r="R714" s="6" t="s">
        <v>138</v>
      </c>
      <c r="S714" s="6" t="str">
        <f>_xlfn.CONCAT(Table1[[#This Row],[Sub_Category]],"-",Table1[[#This Row],[bike colour]])</f>
        <v>Road Bikes-black</v>
      </c>
    </row>
    <row r="715" spans="1:19" x14ac:dyDescent="0.3">
      <c r="A715" s="1">
        <v>44557</v>
      </c>
      <c r="B715">
        <v>27</v>
      </c>
      <c r="C715" t="s">
        <v>106</v>
      </c>
      <c r="D715">
        <v>2021</v>
      </c>
      <c r="E715">
        <v>49</v>
      </c>
      <c r="F715" t="s">
        <v>14</v>
      </c>
      <c r="G715" t="s">
        <v>122</v>
      </c>
      <c r="H715" t="s">
        <v>27</v>
      </c>
      <c r="I715" t="s">
        <v>33</v>
      </c>
      <c r="J715" t="s">
        <v>17</v>
      </c>
      <c r="K715" t="s">
        <v>55</v>
      </c>
      <c r="L715">
        <v>1</v>
      </c>
      <c r="M715" s="6">
        <v>713</v>
      </c>
      <c r="N715" s="6">
        <v>1120</v>
      </c>
      <c r="O715" s="6">
        <f>Table1[[#This Row],[Unit_Price]]*Table1[[#This Row],[Order_Quantity]]</f>
        <v>1120</v>
      </c>
      <c r="P715" s="6">
        <f>Table1[[#This Row],[Unit_Cost]]*Table1[[#This Row],[Order_Quantity]]</f>
        <v>713</v>
      </c>
      <c r="Q715" s="4">
        <f>Table1[[#This Row],[total sales]]-Table1[[#This Row],[total cost]]</f>
        <v>407</v>
      </c>
      <c r="R715" s="6" t="s">
        <v>138</v>
      </c>
      <c r="S715" s="6" t="str">
        <f>_xlfn.CONCAT(Table1[[#This Row],[Sub_Category]],"-",Table1[[#This Row],[bike colour]])</f>
        <v>Road Bikes-black</v>
      </c>
    </row>
    <row r="716" spans="1:19" x14ac:dyDescent="0.3">
      <c r="A716" s="1">
        <v>44558</v>
      </c>
      <c r="B716">
        <v>28</v>
      </c>
      <c r="C716" t="s">
        <v>106</v>
      </c>
      <c r="D716">
        <v>2021</v>
      </c>
      <c r="E716">
        <v>35</v>
      </c>
      <c r="F716" t="s">
        <v>14</v>
      </c>
      <c r="G716" t="s">
        <v>120</v>
      </c>
      <c r="H716" t="s">
        <v>27</v>
      </c>
      <c r="I716" t="s">
        <v>33</v>
      </c>
      <c r="J716" t="s">
        <v>17</v>
      </c>
      <c r="K716" t="s">
        <v>64</v>
      </c>
      <c r="L716">
        <v>4</v>
      </c>
      <c r="M716" s="6">
        <v>713</v>
      </c>
      <c r="N716" s="6">
        <v>1120</v>
      </c>
      <c r="O716" s="6">
        <f>Table1[[#This Row],[Unit_Price]]*Table1[[#This Row],[Order_Quantity]]</f>
        <v>4480</v>
      </c>
      <c r="P716" s="6">
        <f>Table1[[#This Row],[Unit_Cost]]*Table1[[#This Row],[Order_Quantity]]</f>
        <v>2852</v>
      </c>
      <c r="Q716" s="4">
        <f>Table1[[#This Row],[total sales]]-Table1[[#This Row],[total cost]]</f>
        <v>1628</v>
      </c>
      <c r="R716" s="6" t="s">
        <v>136</v>
      </c>
      <c r="S716" s="6" t="str">
        <f>_xlfn.CONCAT(Table1[[#This Row],[Sub_Category]],"-",Table1[[#This Row],[bike colour]])</f>
        <v>Road Bikes-yellow</v>
      </c>
    </row>
    <row r="717" spans="1:19" x14ac:dyDescent="0.3">
      <c r="A717" s="1">
        <v>44558</v>
      </c>
      <c r="B717">
        <v>28</v>
      </c>
      <c r="C717" t="s">
        <v>106</v>
      </c>
      <c r="D717">
        <v>2021</v>
      </c>
      <c r="E717">
        <v>45</v>
      </c>
      <c r="F717" t="s">
        <v>14</v>
      </c>
      <c r="G717" t="s">
        <v>120</v>
      </c>
      <c r="H717" t="s">
        <v>27</v>
      </c>
      <c r="I717" t="s">
        <v>28</v>
      </c>
      <c r="J717" t="s">
        <v>17</v>
      </c>
      <c r="K717" t="s">
        <v>41</v>
      </c>
      <c r="L717">
        <v>4</v>
      </c>
      <c r="M717" s="6">
        <v>713</v>
      </c>
      <c r="N717" s="6">
        <v>1120</v>
      </c>
      <c r="O717" s="6">
        <f>Table1[[#This Row],[Unit_Price]]*Table1[[#This Row],[Order_Quantity]]</f>
        <v>4480</v>
      </c>
      <c r="P717" s="6">
        <f>Table1[[#This Row],[Unit_Cost]]*Table1[[#This Row],[Order_Quantity]]</f>
        <v>2852</v>
      </c>
      <c r="Q717" s="4">
        <f>Table1[[#This Row],[total sales]]-Table1[[#This Row],[total cost]]</f>
        <v>1628</v>
      </c>
      <c r="R717" s="6" t="s">
        <v>138</v>
      </c>
      <c r="S717" s="6" t="str">
        <f>_xlfn.CONCAT(Table1[[#This Row],[Sub_Category]],"-",Table1[[#This Row],[bike colour]])</f>
        <v>Road Bikes-black</v>
      </c>
    </row>
    <row r="718" spans="1:19" x14ac:dyDescent="0.3">
      <c r="A718" s="1">
        <v>44558</v>
      </c>
      <c r="B718">
        <v>28</v>
      </c>
      <c r="C718" t="s">
        <v>106</v>
      </c>
      <c r="D718">
        <v>2021</v>
      </c>
      <c r="E718">
        <v>19</v>
      </c>
      <c r="F718" t="s">
        <v>49</v>
      </c>
      <c r="G718" t="s">
        <v>122</v>
      </c>
      <c r="H718" t="s">
        <v>27</v>
      </c>
      <c r="I718" t="s">
        <v>45</v>
      </c>
      <c r="J718" t="s">
        <v>25</v>
      </c>
      <c r="K718" t="s">
        <v>84</v>
      </c>
      <c r="L718">
        <v>3</v>
      </c>
      <c r="M718" s="6">
        <v>713</v>
      </c>
      <c r="N718" s="6">
        <v>1120</v>
      </c>
      <c r="O718" s="6">
        <f>Table1[[#This Row],[Unit_Price]]*Table1[[#This Row],[Order_Quantity]]</f>
        <v>3360</v>
      </c>
      <c r="P718" s="6">
        <f>Table1[[#This Row],[Unit_Cost]]*Table1[[#This Row],[Order_Quantity]]</f>
        <v>2139</v>
      </c>
      <c r="Q718" s="4">
        <f>Table1[[#This Row],[total sales]]-Table1[[#This Row],[total cost]]</f>
        <v>1221</v>
      </c>
      <c r="R718" s="6" t="s">
        <v>139</v>
      </c>
      <c r="S718" s="6" t="str">
        <f>_xlfn.CONCAT(Table1[[#This Row],[Sub_Category]],"-",Table1[[#This Row],[bike colour]])</f>
        <v>Mountain Bikes-silver</v>
      </c>
    </row>
    <row r="719" spans="1:19" x14ac:dyDescent="0.3">
      <c r="A719" s="1">
        <v>44558</v>
      </c>
      <c r="B719">
        <v>28</v>
      </c>
      <c r="C719" t="s">
        <v>106</v>
      </c>
      <c r="D719">
        <v>2021</v>
      </c>
      <c r="E719">
        <v>31</v>
      </c>
      <c r="F719" t="s">
        <v>19</v>
      </c>
      <c r="G719" t="s">
        <v>122</v>
      </c>
      <c r="H719" t="s">
        <v>27</v>
      </c>
      <c r="I719" t="s">
        <v>33</v>
      </c>
      <c r="J719" t="s">
        <v>25</v>
      </c>
      <c r="K719" t="s">
        <v>97</v>
      </c>
      <c r="L719">
        <v>3</v>
      </c>
      <c r="M719" s="6">
        <v>713</v>
      </c>
      <c r="N719" s="6">
        <v>1120</v>
      </c>
      <c r="O719" s="6">
        <f>Table1[[#This Row],[Unit_Price]]*Table1[[#This Row],[Order_Quantity]]</f>
        <v>3360</v>
      </c>
      <c r="P719" s="6">
        <f>Table1[[#This Row],[Unit_Cost]]*Table1[[#This Row],[Order_Quantity]]</f>
        <v>2139</v>
      </c>
      <c r="Q719" s="4">
        <f>Table1[[#This Row],[total sales]]-Table1[[#This Row],[total cost]]</f>
        <v>1221</v>
      </c>
      <c r="R719" s="6" t="s">
        <v>139</v>
      </c>
      <c r="S719" s="6" t="str">
        <f>_xlfn.CONCAT(Table1[[#This Row],[Sub_Category]],"-",Table1[[#This Row],[bike colour]])</f>
        <v>Mountain Bikes-silver</v>
      </c>
    </row>
    <row r="720" spans="1:19" x14ac:dyDescent="0.3">
      <c r="A720" s="1">
        <v>44558</v>
      </c>
      <c r="B720">
        <v>28</v>
      </c>
      <c r="C720" t="s">
        <v>106</v>
      </c>
      <c r="D720">
        <v>2021</v>
      </c>
      <c r="E720">
        <v>36</v>
      </c>
      <c r="F720" t="s">
        <v>14</v>
      </c>
      <c r="G720" t="s">
        <v>122</v>
      </c>
      <c r="H720" t="s">
        <v>20</v>
      </c>
      <c r="I720" t="s">
        <v>21</v>
      </c>
      <c r="J720" t="s">
        <v>17</v>
      </c>
      <c r="K720" t="s">
        <v>80</v>
      </c>
      <c r="L720">
        <v>3</v>
      </c>
      <c r="M720" s="6">
        <v>713</v>
      </c>
      <c r="N720" s="6">
        <v>1120</v>
      </c>
      <c r="O720" s="6">
        <f>Table1[[#This Row],[Unit_Price]]*Table1[[#This Row],[Order_Quantity]]</f>
        <v>3360</v>
      </c>
      <c r="P720" s="6">
        <f>Table1[[#This Row],[Unit_Cost]]*Table1[[#This Row],[Order_Quantity]]</f>
        <v>2139</v>
      </c>
      <c r="Q720" s="4">
        <f>Table1[[#This Row],[total sales]]-Table1[[#This Row],[total cost]]</f>
        <v>1221</v>
      </c>
      <c r="R720" s="6" t="s">
        <v>138</v>
      </c>
      <c r="S720" s="6" t="str">
        <f>_xlfn.CONCAT(Table1[[#This Row],[Sub_Category]],"-",Table1[[#This Row],[bike colour]])</f>
        <v>Road Bikes-black</v>
      </c>
    </row>
    <row r="721" spans="1:19" x14ac:dyDescent="0.3">
      <c r="A721" s="1">
        <v>44558</v>
      </c>
      <c r="B721">
        <v>28</v>
      </c>
      <c r="C721" t="s">
        <v>106</v>
      </c>
      <c r="D721">
        <v>2021</v>
      </c>
      <c r="E721">
        <v>44</v>
      </c>
      <c r="F721" t="s">
        <v>14</v>
      </c>
      <c r="G721" t="s">
        <v>120</v>
      </c>
      <c r="H721" t="s">
        <v>23</v>
      </c>
      <c r="I721" t="s">
        <v>24</v>
      </c>
      <c r="J721" t="s">
        <v>25</v>
      </c>
      <c r="K721" t="s">
        <v>26</v>
      </c>
      <c r="L721">
        <v>3</v>
      </c>
      <c r="M721" s="6">
        <v>713</v>
      </c>
      <c r="N721" s="6">
        <v>1120</v>
      </c>
      <c r="O721" s="6">
        <f>Table1[[#This Row],[Unit_Price]]*Table1[[#This Row],[Order_Quantity]]</f>
        <v>3360</v>
      </c>
      <c r="P721" s="6">
        <f>Table1[[#This Row],[Unit_Cost]]*Table1[[#This Row],[Order_Quantity]]</f>
        <v>2139</v>
      </c>
      <c r="Q721" s="4">
        <f>Table1[[#This Row],[total sales]]-Table1[[#This Row],[total cost]]</f>
        <v>1221</v>
      </c>
      <c r="R721" s="6" t="s">
        <v>138</v>
      </c>
      <c r="S721" s="6" t="str">
        <f>_xlfn.CONCAT(Table1[[#This Row],[Sub_Category]],"-",Table1[[#This Row],[bike colour]])</f>
        <v>Mountain Bikes-black</v>
      </c>
    </row>
    <row r="722" spans="1:19" x14ac:dyDescent="0.3">
      <c r="A722" s="1">
        <v>44558</v>
      </c>
      <c r="B722">
        <v>28</v>
      </c>
      <c r="C722" t="s">
        <v>106</v>
      </c>
      <c r="D722">
        <v>2021</v>
      </c>
      <c r="E722">
        <v>30</v>
      </c>
      <c r="F722" t="s">
        <v>19</v>
      </c>
      <c r="G722" t="s">
        <v>120</v>
      </c>
      <c r="H722" t="s">
        <v>15</v>
      </c>
      <c r="I722" t="s">
        <v>47</v>
      </c>
      <c r="J722" t="s">
        <v>25</v>
      </c>
      <c r="K722" t="s">
        <v>31</v>
      </c>
      <c r="L722">
        <v>2</v>
      </c>
      <c r="M722" s="6">
        <v>713</v>
      </c>
      <c r="N722" s="6">
        <v>1120</v>
      </c>
      <c r="O722" s="6">
        <f>Table1[[#This Row],[Unit_Price]]*Table1[[#This Row],[Order_Quantity]]</f>
        <v>2240</v>
      </c>
      <c r="P722" s="6">
        <f>Table1[[#This Row],[Unit_Cost]]*Table1[[#This Row],[Order_Quantity]]</f>
        <v>1426</v>
      </c>
      <c r="Q722" s="4">
        <f>Table1[[#This Row],[total sales]]-Table1[[#This Row],[total cost]]</f>
        <v>814</v>
      </c>
      <c r="R722" s="6" t="s">
        <v>139</v>
      </c>
      <c r="S722" s="6" t="str">
        <f>_xlfn.CONCAT(Table1[[#This Row],[Sub_Category]],"-",Table1[[#This Row],[bike colour]])</f>
        <v>Mountain Bikes-silver</v>
      </c>
    </row>
    <row r="723" spans="1:19" x14ac:dyDescent="0.3">
      <c r="A723" s="1">
        <v>44558</v>
      </c>
      <c r="B723">
        <v>28</v>
      </c>
      <c r="C723" t="s">
        <v>106</v>
      </c>
      <c r="D723">
        <v>2021</v>
      </c>
      <c r="E723">
        <v>34</v>
      </c>
      <c r="F723" t="s">
        <v>19</v>
      </c>
      <c r="G723" t="s">
        <v>122</v>
      </c>
      <c r="H723" t="s">
        <v>27</v>
      </c>
      <c r="I723" t="s">
        <v>45</v>
      </c>
      <c r="J723" t="s">
        <v>25</v>
      </c>
      <c r="K723" t="s">
        <v>118</v>
      </c>
      <c r="L723">
        <v>1</v>
      </c>
      <c r="M723" s="6">
        <v>713</v>
      </c>
      <c r="N723" s="6">
        <v>1120</v>
      </c>
      <c r="O723" s="6">
        <f>Table1[[#This Row],[Unit_Price]]*Table1[[#This Row],[Order_Quantity]]</f>
        <v>1120</v>
      </c>
      <c r="P723" s="6">
        <f>Table1[[#This Row],[Unit_Cost]]*Table1[[#This Row],[Order_Quantity]]</f>
        <v>713</v>
      </c>
      <c r="Q723" s="4">
        <f>Table1[[#This Row],[total sales]]-Table1[[#This Row],[total cost]]</f>
        <v>407</v>
      </c>
      <c r="R723" s="6" t="s">
        <v>138</v>
      </c>
      <c r="S723" s="6" t="str">
        <f>_xlfn.CONCAT(Table1[[#This Row],[Sub_Category]],"-",Table1[[#This Row],[bike colour]])</f>
        <v>Mountain Bikes-black</v>
      </c>
    </row>
    <row r="724" spans="1:19" x14ac:dyDescent="0.3">
      <c r="A724" s="1">
        <v>44558</v>
      </c>
      <c r="B724">
        <v>28</v>
      </c>
      <c r="C724" t="s">
        <v>106</v>
      </c>
      <c r="D724">
        <v>2021</v>
      </c>
      <c r="E724">
        <v>39</v>
      </c>
      <c r="F724" t="s">
        <v>14</v>
      </c>
      <c r="G724" t="s">
        <v>120</v>
      </c>
      <c r="H724" t="s">
        <v>15</v>
      </c>
      <c r="I724" t="s">
        <v>16</v>
      </c>
      <c r="J724" t="s">
        <v>25</v>
      </c>
      <c r="K724" t="s">
        <v>61</v>
      </c>
      <c r="L724">
        <v>1</v>
      </c>
      <c r="M724" s="6">
        <v>713</v>
      </c>
      <c r="N724" s="6">
        <v>1120</v>
      </c>
      <c r="O724" s="6">
        <f>Table1[[#This Row],[Unit_Price]]*Table1[[#This Row],[Order_Quantity]]</f>
        <v>1120</v>
      </c>
      <c r="P724" s="6">
        <f>Table1[[#This Row],[Unit_Cost]]*Table1[[#This Row],[Order_Quantity]]</f>
        <v>713</v>
      </c>
      <c r="Q724" s="4">
        <f>Table1[[#This Row],[total sales]]-Table1[[#This Row],[total cost]]</f>
        <v>407</v>
      </c>
      <c r="R724" s="6" t="s">
        <v>138</v>
      </c>
      <c r="S724" s="6" t="str">
        <f>_xlfn.CONCAT(Table1[[#This Row],[Sub_Category]],"-",Table1[[#This Row],[bike colour]])</f>
        <v>Mountain Bikes-black</v>
      </c>
    </row>
    <row r="725" spans="1:19" x14ac:dyDescent="0.3">
      <c r="A725" s="1">
        <v>44558</v>
      </c>
      <c r="B725">
        <v>28</v>
      </c>
      <c r="C725" t="s">
        <v>106</v>
      </c>
      <c r="D725">
        <v>2021</v>
      </c>
      <c r="E725">
        <v>46</v>
      </c>
      <c r="F725" t="s">
        <v>14</v>
      </c>
      <c r="G725" t="s">
        <v>122</v>
      </c>
      <c r="H725" t="s">
        <v>42</v>
      </c>
      <c r="I725" t="s">
        <v>68</v>
      </c>
      <c r="J725" t="s">
        <v>17</v>
      </c>
      <c r="K725" t="s">
        <v>102</v>
      </c>
      <c r="L725">
        <v>1</v>
      </c>
      <c r="M725" s="6">
        <v>713</v>
      </c>
      <c r="N725" s="6">
        <v>1120</v>
      </c>
      <c r="O725" s="6">
        <f>Table1[[#This Row],[Unit_Price]]*Table1[[#This Row],[Order_Quantity]]</f>
        <v>1120</v>
      </c>
      <c r="P725" s="6">
        <f>Table1[[#This Row],[Unit_Cost]]*Table1[[#This Row],[Order_Quantity]]</f>
        <v>713</v>
      </c>
      <c r="Q725" s="4">
        <f>Table1[[#This Row],[total sales]]-Table1[[#This Row],[total cost]]</f>
        <v>407</v>
      </c>
      <c r="R725" s="6" t="s">
        <v>137</v>
      </c>
      <c r="S725" s="6" t="str">
        <f>_xlfn.CONCAT(Table1[[#This Row],[Sub_Category]],"-",Table1[[#This Row],[bike colour]])</f>
        <v>Road Bikes-red</v>
      </c>
    </row>
    <row r="726" spans="1:19" x14ac:dyDescent="0.3">
      <c r="A726" s="1">
        <v>44559</v>
      </c>
      <c r="B726">
        <v>29</v>
      </c>
      <c r="C726" t="s">
        <v>106</v>
      </c>
      <c r="D726">
        <v>2021</v>
      </c>
      <c r="E726">
        <v>24</v>
      </c>
      <c r="F726" t="s">
        <v>49</v>
      </c>
      <c r="G726" t="s">
        <v>120</v>
      </c>
      <c r="H726" t="s">
        <v>50</v>
      </c>
      <c r="I726" t="s">
        <v>119</v>
      </c>
      <c r="J726" t="s">
        <v>17</v>
      </c>
      <c r="K726" t="s">
        <v>85</v>
      </c>
      <c r="L726">
        <v>4</v>
      </c>
      <c r="M726" s="6">
        <v>713</v>
      </c>
      <c r="N726" s="6">
        <v>1120</v>
      </c>
      <c r="O726" s="6">
        <f>Table1[[#This Row],[Unit_Price]]*Table1[[#This Row],[Order_Quantity]]</f>
        <v>4480</v>
      </c>
      <c r="P726" s="6">
        <f>Table1[[#This Row],[Unit_Cost]]*Table1[[#This Row],[Order_Quantity]]</f>
        <v>2852</v>
      </c>
      <c r="Q726" s="4">
        <f>Table1[[#This Row],[total sales]]-Table1[[#This Row],[total cost]]</f>
        <v>1628</v>
      </c>
      <c r="R726" s="6" t="s">
        <v>137</v>
      </c>
      <c r="S726" s="6" t="str">
        <f>_xlfn.CONCAT(Table1[[#This Row],[Sub_Category]],"-",Table1[[#This Row],[bike colour]])</f>
        <v>Road Bikes-red</v>
      </c>
    </row>
    <row r="727" spans="1:19" x14ac:dyDescent="0.3">
      <c r="A727" s="1">
        <v>44559</v>
      </c>
      <c r="B727">
        <v>29</v>
      </c>
      <c r="C727" t="s">
        <v>106</v>
      </c>
      <c r="D727">
        <v>2021</v>
      </c>
      <c r="E727">
        <v>23</v>
      </c>
      <c r="F727" t="s">
        <v>49</v>
      </c>
      <c r="G727" t="s">
        <v>120</v>
      </c>
      <c r="H727" t="s">
        <v>42</v>
      </c>
      <c r="I727" t="s">
        <v>86</v>
      </c>
      <c r="J727" t="s">
        <v>17</v>
      </c>
      <c r="K727" t="s">
        <v>75</v>
      </c>
      <c r="L727">
        <v>3</v>
      </c>
      <c r="M727" s="6">
        <v>713</v>
      </c>
      <c r="N727" s="6">
        <v>1120</v>
      </c>
      <c r="O727" s="6">
        <f>Table1[[#This Row],[Unit_Price]]*Table1[[#This Row],[Order_Quantity]]</f>
        <v>3360</v>
      </c>
      <c r="P727" s="6">
        <f>Table1[[#This Row],[Unit_Cost]]*Table1[[#This Row],[Order_Quantity]]</f>
        <v>2139</v>
      </c>
      <c r="Q727" s="4">
        <f>Table1[[#This Row],[total sales]]-Table1[[#This Row],[total cost]]</f>
        <v>1221</v>
      </c>
      <c r="R727" s="6" t="s">
        <v>137</v>
      </c>
      <c r="S727" s="6" t="str">
        <f>_xlfn.CONCAT(Table1[[#This Row],[Sub_Category]],"-",Table1[[#This Row],[bike colour]])</f>
        <v>Road Bikes-red</v>
      </c>
    </row>
    <row r="728" spans="1:19" x14ac:dyDescent="0.3">
      <c r="A728" s="1">
        <v>44559</v>
      </c>
      <c r="B728">
        <v>29</v>
      </c>
      <c r="C728" t="s">
        <v>106</v>
      </c>
      <c r="D728">
        <v>2021</v>
      </c>
      <c r="E728">
        <v>25</v>
      </c>
      <c r="F728" t="s">
        <v>19</v>
      </c>
      <c r="G728" t="s">
        <v>122</v>
      </c>
      <c r="H728" t="s">
        <v>20</v>
      </c>
      <c r="I728" t="s">
        <v>21</v>
      </c>
      <c r="J728" t="s">
        <v>17</v>
      </c>
      <c r="K728" t="s">
        <v>59</v>
      </c>
      <c r="L728">
        <v>3</v>
      </c>
      <c r="M728" s="6">
        <v>713</v>
      </c>
      <c r="N728" s="6">
        <v>1120</v>
      </c>
      <c r="O728" s="6">
        <f>Table1[[#This Row],[Unit_Price]]*Table1[[#This Row],[Order_Quantity]]</f>
        <v>3360</v>
      </c>
      <c r="P728" s="6">
        <f>Table1[[#This Row],[Unit_Cost]]*Table1[[#This Row],[Order_Quantity]]</f>
        <v>2139</v>
      </c>
      <c r="Q728" s="4">
        <f>Table1[[#This Row],[total sales]]-Table1[[#This Row],[total cost]]</f>
        <v>1221</v>
      </c>
      <c r="R728" s="6" t="s">
        <v>137</v>
      </c>
      <c r="S728" s="6" t="str">
        <f>_xlfn.CONCAT(Table1[[#This Row],[Sub_Category]],"-",Table1[[#This Row],[bike colour]])</f>
        <v>Road Bikes-red</v>
      </c>
    </row>
    <row r="729" spans="1:19" x14ac:dyDescent="0.3">
      <c r="A729" s="1">
        <v>44559</v>
      </c>
      <c r="B729">
        <v>29</v>
      </c>
      <c r="C729" t="s">
        <v>106</v>
      </c>
      <c r="D729">
        <v>2021</v>
      </c>
      <c r="E729">
        <v>26</v>
      </c>
      <c r="F729" t="s">
        <v>19</v>
      </c>
      <c r="G729" t="s">
        <v>120</v>
      </c>
      <c r="H729" t="s">
        <v>23</v>
      </c>
      <c r="I729" t="s">
        <v>24</v>
      </c>
      <c r="J729" t="s">
        <v>17</v>
      </c>
      <c r="K729" t="s">
        <v>63</v>
      </c>
      <c r="L729">
        <v>3</v>
      </c>
      <c r="M729" s="6">
        <v>713</v>
      </c>
      <c r="N729" s="6">
        <v>1120</v>
      </c>
      <c r="O729" s="6">
        <f>Table1[[#This Row],[Unit_Price]]*Table1[[#This Row],[Order_Quantity]]</f>
        <v>3360</v>
      </c>
      <c r="P729" s="6">
        <f>Table1[[#This Row],[Unit_Cost]]*Table1[[#This Row],[Order_Quantity]]</f>
        <v>2139</v>
      </c>
      <c r="Q729" s="4">
        <f>Table1[[#This Row],[total sales]]-Table1[[#This Row],[total cost]]</f>
        <v>1221</v>
      </c>
      <c r="R729" s="6" t="s">
        <v>136</v>
      </c>
      <c r="S729" s="6" t="str">
        <f>_xlfn.CONCAT(Table1[[#This Row],[Sub_Category]],"-",Table1[[#This Row],[bike colour]])</f>
        <v>Road Bikes-yellow</v>
      </c>
    </row>
    <row r="730" spans="1:19" x14ac:dyDescent="0.3">
      <c r="A730" s="1">
        <v>44559</v>
      </c>
      <c r="B730">
        <v>29</v>
      </c>
      <c r="C730" t="s">
        <v>106</v>
      </c>
      <c r="D730">
        <v>2021</v>
      </c>
      <c r="E730">
        <v>30</v>
      </c>
      <c r="F730" t="s">
        <v>19</v>
      </c>
      <c r="G730" t="s">
        <v>122</v>
      </c>
      <c r="H730" t="s">
        <v>50</v>
      </c>
      <c r="I730" t="s">
        <v>70</v>
      </c>
      <c r="J730" t="s">
        <v>17</v>
      </c>
      <c r="K730" t="s">
        <v>65</v>
      </c>
      <c r="L730">
        <v>2</v>
      </c>
      <c r="M730" s="6">
        <v>713</v>
      </c>
      <c r="N730" s="6">
        <v>1120</v>
      </c>
      <c r="O730" s="6">
        <f>Table1[[#This Row],[Unit_Price]]*Table1[[#This Row],[Order_Quantity]]</f>
        <v>2240</v>
      </c>
      <c r="P730" s="6">
        <f>Table1[[#This Row],[Unit_Cost]]*Table1[[#This Row],[Order_Quantity]]</f>
        <v>1426</v>
      </c>
      <c r="Q730" s="4">
        <f>Table1[[#This Row],[total sales]]-Table1[[#This Row],[total cost]]</f>
        <v>814</v>
      </c>
      <c r="R730" s="6" t="s">
        <v>136</v>
      </c>
      <c r="S730" s="6" t="str">
        <f>_xlfn.CONCAT(Table1[[#This Row],[Sub_Category]],"-",Table1[[#This Row],[bike colour]])</f>
        <v>Road Bikes-yellow</v>
      </c>
    </row>
    <row r="731" spans="1:19" x14ac:dyDescent="0.3">
      <c r="A731" s="1">
        <v>44559</v>
      </c>
      <c r="B731">
        <v>29</v>
      </c>
      <c r="C731" t="s">
        <v>106</v>
      </c>
      <c r="D731">
        <v>2021</v>
      </c>
      <c r="E731">
        <v>43</v>
      </c>
      <c r="F731" t="s">
        <v>14</v>
      </c>
      <c r="G731" t="s">
        <v>122</v>
      </c>
      <c r="H731" t="s">
        <v>23</v>
      </c>
      <c r="I731" t="s">
        <v>24</v>
      </c>
      <c r="J731" t="s">
        <v>25</v>
      </c>
      <c r="K731" t="s">
        <v>56</v>
      </c>
      <c r="L731">
        <v>2</v>
      </c>
      <c r="M731" s="6">
        <v>713</v>
      </c>
      <c r="N731" s="6">
        <v>1120</v>
      </c>
      <c r="O731" s="6">
        <f>Table1[[#This Row],[Unit_Price]]*Table1[[#This Row],[Order_Quantity]]</f>
        <v>2240</v>
      </c>
      <c r="P731" s="6">
        <f>Table1[[#This Row],[Unit_Cost]]*Table1[[#This Row],[Order_Quantity]]</f>
        <v>1426</v>
      </c>
      <c r="Q731" s="4">
        <f>Table1[[#This Row],[total sales]]-Table1[[#This Row],[total cost]]</f>
        <v>814</v>
      </c>
      <c r="R731" s="6" t="s">
        <v>139</v>
      </c>
      <c r="S731" s="6" t="str">
        <f>_xlfn.CONCAT(Table1[[#This Row],[Sub_Category]],"-",Table1[[#This Row],[bike colour]])</f>
        <v>Mountain Bikes-silver</v>
      </c>
    </row>
    <row r="732" spans="1:19" x14ac:dyDescent="0.3">
      <c r="A732" s="1">
        <v>44559</v>
      </c>
      <c r="B732">
        <v>29</v>
      </c>
      <c r="C732" t="s">
        <v>106</v>
      </c>
      <c r="D732">
        <v>2021</v>
      </c>
      <c r="E732">
        <v>44</v>
      </c>
      <c r="F732" t="s">
        <v>14</v>
      </c>
      <c r="G732" t="s">
        <v>120</v>
      </c>
      <c r="H732" t="s">
        <v>27</v>
      </c>
      <c r="I732" t="s">
        <v>28</v>
      </c>
      <c r="J732" t="s">
        <v>17</v>
      </c>
      <c r="K732" t="s">
        <v>41</v>
      </c>
      <c r="L732">
        <v>2</v>
      </c>
      <c r="M732" s="6">
        <v>713</v>
      </c>
      <c r="N732" s="6">
        <v>1120</v>
      </c>
      <c r="O732" s="6">
        <f>Table1[[#This Row],[Unit_Price]]*Table1[[#This Row],[Order_Quantity]]</f>
        <v>2240</v>
      </c>
      <c r="P732" s="6">
        <f>Table1[[#This Row],[Unit_Cost]]*Table1[[#This Row],[Order_Quantity]]</f>
        <v>1426</v>
      </c>
      <c r="Q732" s="4">
        <f>Table1[[#This Row],[total sales]]-Table1[[#This Row],[total cost]]</f>
        <v>814</v>
      </c>
      <c r="R732" s="6" t="s">
        <v>138</v>
      </c>
      <c r="S732" s="6" t="str">
        <f>_xlfn.CONCAT(Table1[[#This Row],[Sub_Category]],"-",Table1[[#This Row],[bike colour]])</f>
        <v>Road Bikes-black</v>
      </c>
    </row>
    <row r="733" spans="1:19" x14ac:dyDescent="0.3">
      <c r="A733" s="1">
        <v>44559</v>
      </c>
      <c r="B733">
        <v>29</v>
      </c>
      <c r="C733" t="s">
        <v>106</v>
      </c>
      <c r="D733">
        <v>2021</v>
      </c>
      <c r="E733">
        <v>22</v>
      </c>
      <c r="F733" t="s">
        <v>49</v>
      </c>
      <c r="G733" t="s">
        <v>120</v>
      </c>
      <c r="H733" t="s">
        <v>15</v>
      </c>
      <c r="I733" t="s">
        <v>16</v>
      </c>
      <c r="J733" t="s">
        <v>17</v>
      </c>
      <c r="K733" t="s">
        <v>80</v>
      </c>
      <c r="L733">
        <v>1</v>
      </c>
      <c r="M733" s="6">
        <v>713</v>
      </c>
      <c r="N733" s="6">
        <v>1120</v>
      </c>
      <c r="O733" s="6">
        <f>Table1[[#This Row],[Unit_Price]]*Table1[[#This Row],[Order_Quantity]]</f>
        <v>1120</v>
      </c>
      <c r="P733" s="6">
        <f>Table1[[#This Row],[Unit_Cost]]*Table1[[#This Row],[Order_Quantity]]</f>
        <v>713</v>
      </c>
      <c r="Q733" s="4">
        <f>Table1[[#This Row],[total sales]]-Table1[[#This Row],[total cost]]</f>
        <v>407</v>
      </c>
      <c r="R733" s="6" t="s">
        <v>138</v>
      </c>
      <c r="S733" s="6" t="str">
        <f>_xlfn.CONCAT(Table1[[#This Row],[Sub_Category]],"-",Table1[[#This Row],[bike colour]])</f>
        <v>Road Bikes-black</v>
      </c>
    </row>
    <row r="734" spans="1:19" x14ac:dyDescent="0.3">
      <c r="A734" s="1">
        <v>44559</v>
      </c>
      <c r="B734">
        <v>29</v>
      </c>
      <c r="C734" t="s">
        <v>106</v>
      </c>
      <c r="D734">
        <v>2021</v>
      </c>
      <c r="E734">
        <v>23</v>
      </c>
      <c r="F734" t="s">
        <v>49</v>
      </c>
      <c r="G734" t="s">
        <v>120</v>
      </c>
      <c r="H734" t="s">
        <v>50</v>
      </c>
      <c r="I734" t="s">
        <v>94</v>
      </c>
      <c r="J734" t="s">
        <v>17</v>
      </c>
      <c r="K734" t="s">
        <v>38</v>
      </c>
      <c r="L734">
        <v>1</v>
      </c>
      <c r="M734" s="6">
        <v>713</v>
      </c>
      <c r="N734" s="6">
        <v>1120</v>
      </c>
      <c r="O734" s="6">
        <f>Table1[[#This Row],[Unit_Price]]*Table1[[#This Row],[Order_Quantity]]</f>
        <v>1120</v>
      </c>
      <c r="P734" s="6">
        <f>Table1[[#This Row],[Unit_Cost]]*Table1[[#This Row],[Order_Quantity]]</f>
        <v>713</v>
      </c>
      <c r="Q734" s="4">
        <f>Table1[[#This Row],[total sales]]-Table1[[#This Row],[total cost]]</f>
        <v>407</v>
      </c>
      <c r="R734" s="6" t="s">
        <v>137</v>
      </c>
      <c r="S734" s="6" t="str">
        <f>_xlfn.CONCAT(Table1[[#This Row],[Sub_Category]],"-",Table1[[#This Row],[bike colour]])</f>
        <v>Road Bikes-red</v>
      </c>
    </row>
    <row r="735" spans="1:19" x14ac:dyDescent="0.3">
      <c r="A735" s="1">
        <v>44559</v>
      </c>
      <c r="B735">
        <v>29</v>
      </c>
      <c r="C735" t="s">
        <v>106</v>
      </c>
      <c r="D735">
        <v>2021</v>
      </c>
      <c r="E735">
        <v>26</v>
      </c>
      <c r="F735" t="s">
        <v>19</v>
      </c>
      <c r="G735" t="s">
        <v>120</v>
      </c>
      <c r="H735" t="s">
        <v>20</v>
      </c>
      <c r="I735" t="s">
        <v>21</v>
      </c>
      <c r="J735" t="s">
        <v>17</v>
      </c>
      <c r="K735" t="s">
        <v>37</v>
      </c>
      <c r="L735">
        <v>1</v>
      </c>
      <c r="M735" s="6">
        <v>713</v>
      </c>
      <c r="N735" s="6">
        <v>1120</v>
      </c>
      <c r="O735" s="6">
        <f>Table1[[#This Row],[Unit_Price]]*Table1[[#This Row],[Order_Quantity]]</f>
        <v>1120</v>
      </c>
      <c r="P735" s="6">
        <f>Table1[[#This Row],[Unit_Cost]]*Table1[[#This Row],[Order_Quantity]]</f>
        <v>713</v>
      </c>
      <c r="Q735" s="4">
        <f>Table1[[#This Row],[total sales]]-Table1[[#This Row],[total cost]]</f>
        <v>407</v>
      </c>
      <c r="R735" s="6" t="s">
        <v>137</v>
      </c>
      <c r="S735" s="6" t="str">
        <f>_xlfn.CONCAT(Table1[[#This Row],[Sub_Category]],"-",Table1[[#This Row],[bike colour]])</f>
        <v>Road Bikes-red</v>
      </c>
    </row>
    <row r="736" spans="1:19" x14ac:dyDescent="0.3">
      <c r="A736" s="1">
        <v>44559</v>
      </c>
      <c r="B736">
        <v>29</v>
      </c>
      <c r="C736" t="s">
        <v>106</v>
      </c>
      <c r="D736">
        <v>2021</v>
      </c>
      <c r="E736">
        <v>34</v>
      </c>
      <c r="F736" t="s">
        <v>19</v>
      </c>
      <c r="G736" t="s">
        <v>122</v>
      </c>
      <c r="H736" t="s">
        <v>23</v>
      </c>
      <c r="I736" t="s">
        <v>24</v>
      </c>
      <c r="J736" t="s">
        <v>17</v>
      </c>
      <c r="K736" t="s">
        <v>91</v>
      </c>
      <c r="L736">
        <v>1</v>
      </c>
      <c r="M736" s="6">
        <v>713</v>
      </c>
      <c r="N736" s="6">
        <v>1120</v>
      </c>
      <c r="O736" s="6">
        <f>Table1[[#This Row],[Unit_Price]]*Table1[[#This Row],[Order_Quantity]]</f>
        <v>1120</v>
      </c>
      <c r="P736" s="6">
        <f>Table1[[#This Row],[Unit_Cost]]*Table1[[#This Row],[Order_Quantity]]</f>
        <v>713</v>
      </c>
      <c r="Q736" s="4">
        <f>Table1[[#This Row],[total sales]]-Table1[[#This Row],[total cost]]</f>
        <v>407</v>
      </c>
      <c r="R736" s="6" t="s">
        <v>136</v>
      </c>
      <c r="S736" s="6" t="str">
        <f>_xlfn.CONCAT(Table1[[#This Row],[Sub_Category]],"-",Table1[[#This Row],[bike colour]])</f>
        <v>Road Bikes-yellow</v>
      </c>
    </row>
    <row r="737" spans="1:19" x14ac:dyDescent="0.3">
      <c r="A737" s="1">
        <v>44559</v>
      </c>
      <c r="B737">
        <v>29</v>
      </c>
      <c r="C737" t="s">
        <v>106</v>
      </c>
      <c r="D737">
        <v>2021</v>
      </c>
      <c r="E737">
        <v>35</v>
      </c>
      <c r="F737" t="s">
        <v>14</v>
      </c>
      <c r="G737" t="s">
        <v>120</v>
      </c>
      <c r="H737" t="s">
        <v>42</v>
      </c>
      <c r="I737" t="s">
        <v>68</v>
      </c>
      <c r="J737" t="s">
        <v>17</v>
      </c>
      <c r="K737" t="s">
        <v>63</v>
      </c>
      <c r="L737">
        <v>1</v>
      </c>
      <c r="M737" s="6">
        <v>713</v>
      </c>
      <c r="N737" s="6">
        <v>1120</v>
      </c>
      <c r="O737" s="6">
        <f>Table1[[#This Row],[Unit_Price]]*Table1[[#This Row],[Order_Quantity]]</f>
        <v>1120</v>
      </c>
      <c r="P737" s="6">
        <f>Table1[[#This Row],[Unit_Cost]]*Table1[[#This Row],[Order_Quantity]]</f>
        <v>713</v>
      </c>
      <c r="Q737" s="4">
        <f>Table1[[#This Row],[total sales]]-Table1[[#This Row],[total cost]]</f>
        <v>407</v>
      </c>
      <c r="R737" s="6" t="s">
        <v>136</v>
      </c>
      <c r="S737" s="6" t="str">
        <f>_xlfn.CONCAT(Table1[[#This Row],[Sub_Category]],"-",Table1[[#This Row],[bike colour]])</f>
        <v>Road Bikes-yellow</v>
      </c>
    </row>
    <row r="738" spans="1:19" x14ac:dyDescent="0.3">
      <c r="A738" s="1">
        <v>44559</v>
      </c>
      <c r="B738">
        <v>29</v>
      </c>
      <c r="C738" t="s">
        <v>106</v>
      </c>
      <c r="D738">
        <v>2021</v>
      </c>
      <c r="E738">
        <v>43</v>
      </c>
      <c r="F738" t="s">
        <v>14</v>
      </c>
      <c r="G738" t="s">
        <v>120</v>
      </c>
      <c r="H738" t="s">
        <v>27</v>
      </c>
      <c r="I738" t="s">
        <v>33</v>
      </c>
      <c r="J738" t="s">
        <v>17</v>
      </c>
      <c r="K738" t="s">
        <v>35</v>
      </c>
      <c r="L738">
        <v>1</v>
      </c>
      <c r="M738" s="6">
        <v>713</v>
      </c>
      <c r="N738" s="6">
        <v>1120</v>
      </c>
      <c r="O738" s="6">
        <f>Table1[[#This Row],[Unit_Price]]*Table1[[#This Row],[Order_Quantity]]</f>
        <v>1120</v>
      </c>
      <c r="P738" s="6">
        <f>Table1[[#This Row],[Unit_Cost]]*Table1[[#This Row],[Order_Quantity]]</f>
        <v>713</v>
      </c>
      <c r="Q738" s="4">
        <f>Table1[[#This Row],[total sales]]-Table1[[#This Row],[total cost]]</f>
        <v>407</v>
      </c>
      <c r="R738" s="6" t="s">
        <v>137</v>
      </c>
      <c r="S738" s="6" t="str">
        <f>_xlfn.CONCAT(Table1[[#This Row],[Sub_Category]],"-",Table1[[#This Row],[bike colour]])</f>
        <v>Road Bikes-red</v>
      </c>
    </row>
    <row r="739" spans="1:19" x14ac:dyDescent="0.3">
      <c r="A739" s="1">
        <v>44559</v>
      </c>
      <c r="B739">
        <v>29</v>
      </c>
      <c r="C739" t="s">
        <v>106</v>
      </c>
      <c r="D739">
        <v>2021</v>
      </c>
      <c r="E739">
        <v>45</v>
      </c>
      <c r="F739" t="s">
        <v>14</v>
      </c>
      <c r="G739" t="s">
        <v>120</v>
      </c>
      <c r="H739" t="s">
        <v>15</v>
      </c>
      <c r="I739" t="s">
        <v>16</v>
      </c>
      <c r="J739" t="s">
        <v>17</v>
      </c>
      <c r="K739" t="s">
        <v>55</v>
      </c>
      <c r="L739">
        <v>1</v>
      </c>
      <c r="M739" s="6">
        <v>713</v>
      </c>
      <c r="N739" s="6">
        <v>1120</v>
      </c>
      <c r="O739" s="6">
        <f>Table1[[#This Row],[Unit_Price]]*Table1[[#This Row],[Order_Quantity]]</f>
        <v>1120</v>
      </c>
      <c r="P739" s="6">
        <f>Table1[[#This Row],[Unit_Cost]]*Table1[[#This Row],[Order_Quantity]]</f>
        <v>713</v>
      </c>
      <c r="Q739" s="4">
        <f>Table1[[#This Row],[total sales]]-Table1[[#This Row],[total cost]]</f>
        <v>407</v>
      </c>
      <c r="R739" s="6" t="s">
        <v>138</v>
      </c>
      <c r="S739" s="6" t="str">
        <f>_xlfn.CONCAT(Table1[[#This Row],[Sub_Category]],"-",Table1[[#This Row],[bike colour]])</f>
        <v>Road Bikes-black</v>
      </c>
    </row>
    <row r="740" spans="1:19" x14ac:dyDescent="0.3">
      <c r="A740" s="1">
        <v>44560</v>
      </c>
      <c r="B740">
        <v>30</v>
      </c>
      <c r="C740" t="s">
        <v>106</v>
      </c>
      <c r="D740">
        <v>2021</v>
      </c>
      <c r="E740">
        <v>23</v>
      </c>
      <c r="F740" t="s">
        <v>49</v>
      </c>
      <c r="G740" t="s">
        <v>122</v>
      </c>
      <c r="H740" t="s">
        <v>23</v>
      </c>
      <c r="I740" t="s">
        <v>24</v>
      </c>
      <c r="J740" t="s">
        <v>17</v>
      </c>
      <c r="K740" t="s">
        <v>38</v>
      </c>
      <c r="L740">
        <v>3</v>
      </c>
      <c r="M740" s="6">
        <v>713</v>
      </c>
      <c r="N740" s="6">
        <v>1120</v>
      </c>
      <c r="O740" s="6">
        <f>Table1[[#This Row],[Unit_Price]]*Table1[[#This Row],[Order_Quantity]]</f>
        <v>3360</v>
      </c>
      <c r="P740" s="6">
        <f>Table1[[#This Row],[Unit_Cost]]*Table1[[#This Row],[Order_Quantity]]</f>
        <v>2139</v>
      </c>
      <c r="Q740" s="4">
        <f>Table1[[#This Row],[total sales]]-Table1[[#This Row],[total cost]]</f>
        <v>1221</v>
      </c>
      <c r="R740" s="6" t="s">
        <v>137</v>
      </c>
      <c r="S740" s="6" t="str">
        <f>_xlfn.CONCAT(Table1[[#This Row],[Sub_Category]],"-",Table1[[#This Row],[bike colour]])</f>
        <v>Road Bikes-red</v>
      </c>
    </row>
    <row r="741" spans="1:19" x14ac:dyDescent="0.3">
      <c r="A741" s="1">
        <v>44560</v>
      </c>
      <c r="B741">
        <v>30</v>
      </c>
      <c r="C741" t="s">
        <v>106</v>
      </c>
      <c r="D741">
        <v>2021</v>
      </c>
      <c r="E741">
        <v>25</v>
      </c>
      <c r="F741" t="s">
        <v>19</v>
      </c>
      <c r="G741" t="s">
        <v>120</v>
      </c>
      <c r="H741" t="s">
        <v>23</v>
      </c>
      <c r="I741" t="s">
        <v>24</v>
      </c>
      <c r="J741" t="s">
        <v>25</v>
      </c>
      <c r="K741" t="s">
        <v>34</v>
      </c>
      <c r="L741">
        <v>2</v>
      </c>
      <c r="M741" s="6">
        <v>713</v>
      </c>
      <c r="N741" s="6">
        <v>1120</v>
      </c>
      <c r="O741" s="6">
        <f>Table1[[#This Row],[Unit_Price]]*Table1[[#This Row],[Order_Quantity]]</f>
        <v>2240</v>
      </c>
      <c r="P741" s="6">
        <f>Table1[[#This Row],[Unit_Cost]]*Table1[[#This Row],[Order_Quantity]]</f>
        <v>1426</v>
      </c>
      <c r="Q741" s="4">
        <f>Table1[[#This Row],[total sales]]-Table1[[#This Row],[total cost]]</f>
        <v>814</v>
      </c>
      <c r="R741" s="6" t="s">
        <v>138</v>
      </c>
      <c r="S741" s="6" t="str">
        <f>_xlfn.CONCAT(Table1[[#This Row],[Sub_Category]],"-",Table1[[#This Row],[bike colour]])</f>
        <v>Mountain Bikes-black</v>
      </c>
    </row>
    <row r="742" spans="1:19" x14ac:dyDescent="0.3">
      <c r="A742" s="1">
        <v>44560</v>
      </c>
      <c r="B742">
        <v>30</v>
      </c>
      <c r="C742" t="s">
        <v>106</v>
      </c>
      <c r="D742">
        <v>2021</v>
      </c>
      <c r="E742">
        <v>24</v>
      </c>
      <c r="F742" t="s">
        <v>49</v>
      </c>
      <c r="G742" t="s">
        <v>120</v>
      </c>
      <c r="H742" t="s">
        <v>50</v>
      </c>
      <c r="I742" t="s">
        <v>93</v>
      </c>
      <c r="J742" t="s">
        <v>25</v>
      </c>
      <c r="K742" t="s">
        <v>61</v>
      </c>
      <c r="L742">
        <v>1</v>
      </c>
      <c r="M742" s="6">
        <v>713</v>
      </c>
      <c r="N742" s="6">
        <v>1120</v>
      </c>
      <c r="O742" s="6">
        <f>Table1[[#This Row],[Unit_Price]]*Table1[[#This Row],[Order_Quantity]]</f>
        <v>1120</v>
      </c>
      <c r="P742" s="6">
        <f>Table1[[#This Row],[Unit_Cost]]*Table1[[#This Row],[Order_Quantity]]</f>
        <v>713</v>
      </c>
      <c r="Q742" s="4">
        <f>Table1[[#This Row],[total sales]]-Table1[[#This Row],[total cost]]</f>
        <v>407</v>
      </c>
      <c r="R742" s="6" t="s">
        <v>138</v>
      </c>
      <c r="S742" s="6" t="str">
        <f>_xlfn.CONCAT(Table1[[#This Row],[Sub_Category]],"-",Table1[[#This Row],[bike colour]])</f>
        <v>Mountain Bikes-black</v>
      </c>
    </row>
    <row r="743" spans="1:19" x14ac:dyDescent="0.3">
      <c r="A743" s="1">
        <v>44560</v>
      </c>
      <c r="B743">
        <v>30</v>
      </c>
      <c r="C743" t="s">
        <v>106</v>
      </c>
      <c r="D743">
        <v>2021</v>
      </c>
      <c r="E743">
        <v>29</v>
      </c>
      <c r="F743" t="s">
        <v>19</v>
      </c>
      <c r="G743" t="s">
        <v>120</v>
      </c>
      <c r="H743" t="s">
        <v>27</v>
      </c>
      <c r="I743" t="s">
        <v>28</v>
      </c>
      <c r="J743" t="s">
        <v>17</v>
      </c>
      <c r="K743" t="s">
        <v>40</v>
      </c>
      <c r="L743">
        <v>1</v>
      </c>
      <c r="M743" s="6">
        <v>713</v>
      </c>
      <c r="N743" s="6">
        <v>1120</v>
      </c>
      <c r="O743" s="6">
        <f>Table1[[#This Row],[Unit_Price]]*Table1[[#This Row],[Order_Quantity]]</f>
        <v>1120</v>
      </c>
      <c r="P743" s="6">
        <f>Table1[[#This Row],[Unit_Cost]]*Table1[[#This Row],[Order_Quantity]]</f>
        <v>713</v>
      </c>
      <c r="Q743" s="4">
        <f>Table1[[#This Row],[total sales]]-Table1[[#This Row],[total cost]]</f>
        <v>407</v>
      </c>
      <c r="R743" s="6" t="s">
        <v>138</v>
      </c>
      <c r="S743" s="6" t="str">
        <f>_xlfn.CONCAT(Table1[[#This Row],[Sub_Category]],"-",Table1[[#This Row],[bike colour]])</f>
        <v>Road Bikes-black</v>
      </c>
    </row>
    <row r="744" spans="1:19" x14ac:dyDescent="0.3">
      <c r="A744" s="1">
        <v>44560</v>
      </c>
      <c r="B744">
        <v>30</v>
      </c>
      <c r="C744" t="s">
        <v>106</v>
      </c>
      <c r="D744">
        <v>2021</v>
      </c>
      <c r="E744">
        <v>30</v>
      </c>
      <c r="F744" t="s">
        <v>19</v>
      </c>
      <c r="G744" t="s">
        <v>122</v>
      </c>
      <c r="H744" t="s">
        <v>27</v>
      </c>
      <c r="I744" t="s">
        <v>45</v>
      </c>
      <c r="J744" t="s">
        <v>17</v>
      </c>
      <c r="K744" t="s">
        <v>54</v>
      </c>
      <c r="L744">
        <v>1</v>
      </c>
      <c r="M744" s="6">
        <v>713</v>
      </c>
      <c r="N744" s="6">
        <v>1120</v>
      </c>
      <c r="O744" s="6">
        <f>Table1[[#This Row],[Unit_Price]]*Table1[[#This Row],[Order_Quantity]]</f>
        <v>1120</v>
      </c>
      <c r="P744" s="6">
        <f>Table1[[#This Row],[Unit_Cost]]*Table1[[#This Row],[Order_Quantity]]</f>
        <v>713</v>
      </c>
      <c r="Q744" s="4">
        <f>Table1[[#This Row],[total sales]]-Table1[[#This Row],[total cost]]</f>
        <v>407</v>
      </c>
      <c r="R744" s="6" t="s">
        <v>137</v>
      </c>
      <c r="S744" s="6" t="str">
        <f>_xlfn.CONCAT(Table1[[#This Row],[Sub_Category]],"-",Table1[[#This Row],[bike colour]])</f>
        <v>Road Bikes-red</v>
      </c>
    </row>
    <row r="745" spans="1:19" x14ac:dyDescent="0.3">
      <c r="A745" s="1">
        <v>44560</v>
      </c>
      <c r="B745">
        <v>30</v>
      </c>
      <c r="C745" t="s">
        <v>106</v>
      </c>
      <c r="D745">
        <v>2021</v>
      </c>
      <c r="E745">
        <v>36</v>
      </c>
      <c r="F745" t="s">
        <v>14</v>
      </c>
      <c r="G745" t="s">
        <v>122</v>
      </c>
      <c r="H745" t="s">
        <v>27</v>
      </c>
      <c r="I745" t="s">
        <v>28</v>
      </c>
      <c r="J745" t="s">
        <v>17</v>
      </c>
      <c r="K745" t="s">
        <v>91</v>
      </c>
      <c r="L745">
        <v>1</v>
      </c>
      <c r="M745" s="6">
        <v>713</v>
      </c>
      <c r="N745" s="6">
        <v>1120</v>
      </c>
      <c r="O745" s="6">
        <f>Table1[[#This Row],[Unit_Price]]*Table1[[#This Row],[Order_Quantity]]</f>
        <v>1120</v>
      </c>
      <c r="P745" s="6">
        <f>Table1[[#This Row],[Unit_Cost]]*Table1[[#This Row],[Order_Quantity]]</f>
        <v>713</v>
      </c>
      <c r="Q745" s="4">
        <f>Table1[[#This Row],[total sales]]-Table1[[#This Row],[total cost]]</f>
        <v>407</v>
      </c>
      <c r="R745" s="6" t="s">
        <v>136</v>
      </c>
      <c r="S745" s="6" t="str">
        <f>_xlfn.CONCAT(Table1[[#This Row],[Sub_Category]],"-",Table1[[#This Row],[bike colour]])</f>
        <v>Road Bikes-yellow</v>
      </c>
    </row>
    <row r="746" spans="1:19" x14ac:dyDescent="0.3">
      <c r="A746" s="1">
        <v>44560</v>
      </c>
      <c r="B746">
        <v>30</v>
      </c>
      <c r="C746" t="s">
        <v>106</v>
      </c>
      <c r="D746">
        <v>2021</v>
      </c>
      <c r="E746">
        <v>46</v>
      </c>
      <c r="F746" t="s">
        <v>14</v>
      </c>
      <c r="G746" t="s">
        <v>120</v>
      </c>
      <c r="H746" t="s">
        <v>27</v>
      </c>
      <c r="I746" t="s">
        <v>33</v>
      </c>
      <c r="J746" t="s">
        <v>17</v>
      </c>
      <c r="K746" t="s">
        <v>41</v>
      </c>
      <c r="L746">
        <v>1</v>
      </c>
      <c r="M746" s="6">
        <v>713</v>
      </c>
      <c r="N746" s="6">
        <v>1120</v>
      </c>
      <c r="O746" s="6">
        <f>Table1[[#This Row],[Unit_Price]]*Table1[[#This Row],[Order_Quantity]]</f>
        <v>1120</v>
      </c>
      <c r="P746" s="6">
        <f>Table1[[#This Row],[Unit_Cost]]*Table1[[#This Row],[Order_Quantity]]</f>
        <v>713</v>
      </c>
      <c r="Q746" s="4">
        <f>Table1[[#This Row],[total sales]]-Table1[[#This Row],[total cost]]</f>
        <v>407</v>
      </c>
      <c r="R746" s="6" t="s">
        <v>138</v>
      </c>
      <c r="S746" s="6" t="str">
        <f>_xlfn.CONCAT(Table1[[#This Row],[Sub_Category]],"-",Table1[[#This Row],[bike colour]])</f>
        <v>Road Bikes-black</v>
      </c>
    </row>
    <row r="747" spans="1:19" x14ac:dyDescent="0.3">
      <c r="A747" s="1">
        <v>44561</v>
      </c>
      <c r="B747">
        <v>31</v>
      </c>
      <c r="C747" t="s">
        <v>106</v>
      </c>
      <c r="D747">
        <v>2021</v>
      </c>
      <c r="E747">
        <v>32</v>
      </c>
      <c r="F747" t="s">
        <v>19</v>
      </c>
      <c r="G747" t="s">
        <v>122</v>
      </c>
      <c r="H747" t="s">
        <v>50</v>
      </c>
      <c r="I747" t="s">
        <v>90</v>
      </c>
      <c r="J747" t="s">
        <v>17</v>
      </c>
      <c r="K747" t="s">
        <v>35</v>
      </c>
      <c r="L747">
        <v>4</v>
      </c>
      <c r="M747" s="6">
        <v>713</v>
      </c>
      <c r="N747" s="6">
        <v>1120</v>
      </c>
      <c r="O747" s="6">
        <f>Table1[[#This Row],[Unit_Price]]*Table1[[#This Row],[Order_Quantity]]</f>
        <v>4480</v>
      </c>
      <c r="P747" s="6">
        <f>Table1[[#This Row],[Unit_Cost]]*Table1[[#This Row],[Order_Quantity]]</f>
        <v>2852</v>
      </c>
      <c r="Q747" s="4">
        <f>Table1[[#This Row],[total sales]]-Table1[[#This Row],[total cost]]</f>
        <v>1628</v>
      </c>
      <c r="R747" s="6" t="s">
        <v>137</v>
      </c>
      <c r="S747" s="6" t="str">
        <f>_xlfn.CONCAT(Table1[[#This Row],[Sub_Category]],"-",Table1[[#This Row],[bike colour]])</f>
        <v>Road Bikes-red</v>
      </c>
    </row>
    <row r="748" spans="1:19" x14ac:dyDescent="0.3">
      <c r="A748" s="1">
        <v>44561</v>
      </c>
      <c r="B748">
        <v>31</v>
      </c>
      <c r="C748" t="s">
        <v>106</v>
      </c>
      <c r="D748">
        <v>2021</v>
      </c>
      <c r="E748">
        <v>36</v>
      </c>
      <c r="F748" t="s">
        <v>14</v>
      </c>
      <c r="G748" t="s">
        <v>120</v>
      </c>
      <c r="H748" t="s">
        <v>27</v>
      </c>
      <c r="I748" t="s">
        <v>33</v>
      </c>
      <c r="J748" t="s">
        <v>25</v>
      </c>
      <c r="K748" t="s">
        <v>56</v>
      </c>
      <c r="L748">
        <v>3</v>
      </c>
      <c r="M748" s="6">
        <v>713</v>
      </c>
      <c r="N748" s="6">
        <v>1120</v>
      </c>
      <c r="O748" s="6">
        <f>Table1[[#This Row],[Unit_Price]]*Table1[[#This Row],[Order_Quantity]]</f>
        <v>3360</v>
      </c>
      <c r="P748" s="6">
        <f>Table1[[#This Row],[Unit_Cost]]*Table1[[#This Row],[Order_Quantity]]</f>
        <v>2139</v>
      </c>
      <c r="Q748" s="4">
        <f>Table1[[#This Row],[total sales]]-Table1[[#This Row],[total cost]]</f>
        <v>1221</v>
      </c>
      <c r="R748" s="6" t="s">
        <v>139</v>
      </c>
      <c r="S748" s="6" t="str">
        <f>_xlfn.CONCAT(Table1[[#This Row],[Sub_Category]],"-",Table1[[#This Row],[bike colour]])</f>
        <v>Mountain Bikes-silver</v>
      </c>
    </row>
    <row r="749" spans="1:19" x14ac:dyDescent="0.3">
      <c r="A749" s="1">
        <v>44561</v>
      </c>
      <c r="B749">
        <v>31</v>
      </c>
      <c r="C749" t="s">
        <v>106</v>
      </c>
      <c r="D749">
        <v>2021</v>
      </c>
      <c r="E749">
        <v>52</v>
      </c>
      <c r="F749" t="s">
        <v>14</v>
      </c>
      <c r="G749" t="s">
        <v>120</v>
      </c>
      <c r="H749" t="s">
        <v>23</v>
      </c>
      <c r="I749" t="s">
        <v>24</v>
      </c>
      <c r="J749" t="s">
        <v>17</v>
      </c>
      <c r="K749" t="s">
        <v>52</v>
      </c>
      <c r="L749">
        <v>2</v>
      </c>
      <c r="M749" s="6">
        <v>713</v>
      </c>
      <c r="N749" s="6">
        <v>1120</v>
      </c>
      <c r="O749" s="6">
        <f>Table1[[#This Row],[Unit_Price]]*Table1[[#This Row],[Order_Quantity]]</f>
        <v>2240</v>
      </c>
      <c r="P749" s="6">
        <f>Table1[[#This Row],[Unit_Cost]]*Table1[[#This Row],[Order_Quantity]]</f>
        <v>1426</v>
      </c>
      <c r="Q749" s="4">
        <f>Table1[[#This Row],[total sales]]-Table1[[#This Row],[total cost]]</f>
        <v>814</v>
      </c>
      <c r="R749" s="6" t="s">
        <v>138</v>
      </c>
      <c r="S749" s="6" t="str">
        <f>_xlfn.CONCAT(Table1[[#This Row],[Sub_Category]],"-",Table1[[#This Row],[bike colour]])</f>
        <v>Road Bikes-black</v>
      </c>
    </row>
    <row r="750" spans="1:19" x14ac:dyDescent="0.3">
      <c r="A750" s="1">
        <v>44561</v>
      </c>
      <c r="B750">
        <v>31</v>
      </c>
      <c r="C750" t="s">
        <v>106</v>
      </c>
      <c r="D750">
        <v>2021</v>
      </c>
      <c r="E750">
        <v>25</v>
      </c>
      <c r="F750" t="s">
        <v>19</v>
      </c>
      <c r="G750" t="s">
        <v>120</v>
      </c>
      <c r="H750" t="s">
        <v>42</v>
      </c>
      <c r="I750" t="s">
        <v>86</v>
      </c>
      <c r="J750" t="s">
        <v>17</v>
      </c>
      <c r="K750" t="s">
        <v>65</v>
      </c>
      <c r="L750">
        <v>1</v>
      </c>
      <c r="M750" s="6">
        <v>713</v>
      </c>
      <c r="N750" s="6">
        <v>1120</v>
      </c>
      <c r="O750" s="6">
        <f>Table1[[#This Row],[Unit_Price]]*Table1[[#This Row],[Order_Quantity]]</f>
        <v>1120</v>
      </c>
      <c r="P750" s="6">
        <f>Table1[[#This Row],[Unit_Cost]]*Table1[[#This Row],[Order_Quantity]]</f>
        <v>713</v>
      </c>
      <c r="Q750" s="4">
        <f>Table1[[#This Row],[total sales]]-Table1[[#This Row],[total cost]]</f>
        <v>407</v>
      </c>
      <c r="R750" s="6" t="s">
        <v>136</v>
      </c>
      <c r="S750" s="6" t="str">
        <f>_xlfn.CONCAT(Table1[[#This Row],[Sub_Category]],"-",Table1[[#This Row],[bike colour]])</f>
        <v>Road Bikes-yellow</v>
      </c>
    </row>
    <row r="751" spans="1:19" x14ac:dyDescent="0.3">
      <c r="A751" s="1">
        <v>44561</v>
      </c>
      <c r="B751">
        <v>31</v>
      </c>
      <c r="C751" t="s">
        <v>106</v>
      </c>
      <c r="D751">
        <v>2021</v>
      </c>
      <c r="E751">
        <v>26</v>
      </c>
      <c r="F751" t="s">
        <v>19</v>
      </c>
      <c r="G751" t="s">
        <v>122</v>
      </c>
      <c r="H751" t="s">
        <v>27</v>
      </c>
      <c r="I751" t="s">
        <v>28</v>
      </c>
      <c r="J751" t="s">
        <v>17</v>
      </c>
      <c r="K751" t="s">
        <v>81</v>
      </c>
      <c r="L751">
        <v>1</v>
      </c>
      <c r="M751" s="6">
        <v>713</v>
      </c>
      <c r="N751" s="6">
        <v>1120</v>
      </c>
      <c r="O751" s="6">
        <f>Table1[[#This Row],[Unit_Price]]*Table1[[#This Row],[Order_Quantity]]</f>
        <v>1120</v>
      </c>
      <c r="P751" s="6">
        <f>Table1[[#This Row],[Unit_Cost]]*Table1[[#This Row],[Order_Quantity]]</f>
        <v>713</v>
      </c>
      <c r="Q751" s="4">
        <f>Table1[[#This Row],[total sales]]-Table1[[#This Row],[total cost]]</f>
        <v>407</v>
      </c>
      <c r="R751" s="6" t="s">
        <v>136</v>
      </c>
      <c r="S751" s="6" t="str">
        <f>_xlfn.CONCAT(Table1[[#This Row],[Sub_Category]],"-",Table1[[#This Row],[bike colour]])</f>
        <v>Road Bikes-yellow</v>
      </c>
    </row>
    <row r="752" spans="1:19" x14ac:dyDescent="0.3">
      <c r="A752" s="1">
        <v>44561</v>
      </c>
      <c r="B752">
        <v>31</v>
      </c>
      <c r="C752" t="s">
        <v>106</v>
      </c>
      <c r="D752">
        <v>2021</v>
      </c>
      <c r="E752">
        <v>33</v>
      </c>
      <c r="F752" t="s">
        <v>19</v>
      </c>
      <c r="G752" t="s">
        <v>120</v>
      </c>
      <c r="H752" t="s">
        <v>27</v>
      </c>
      <c r="I752" t="s">
        <v>33</v>
      </c>
      <c r="J752" t="s">
        <v>25</v>
      </c>
      <c r="K752" t="s">
        <v>26</v>
      </c>
      <c r="L752">
        <v>1</v>
      </c>
      <c r="M752" s="6">
        <v>713</v>
      </c>
      <c r="N752" s="6">
        <v>1120</v>
      </c>
      <c r="O752" s="6">
        <f>Table1[[#This Row],[Unit_Price]]*Table1[[#This Row],[Order_Quantity]]</f>
        <v>1120</v>
      </c>
      <c r="P752" s="6">
        <f>Table1[[#This Row],[Unit_Cost]]*Table1[[#This Row],[Order_Quantity]]</f>
        <v>713</v>
      </c>
      <c r="Q752" s="4">
        <f>Table1[[#This Row],[total sales]]-Table1[[#This Row],[total cost]]</f>
        <v>407</v>
      </c>
      <c r="R752" s="6" t="s">
        <v>138</v>
      </c>
      <c r="S752" s="6" t="str">
        <f>_xlfn.CONCAT(Table1[[#This Row],[Sub_Category]],"-",Table1[[#This Row],[bike colour]])</f>
        <v>Mountain Bikes-black</v>
      </c>
    </row>
    <row r="753" spans="1:19" x14ac:dyDescent="0.3">
      <c r="A753" s="1">
        <v>44561</v>
      </c>
      <c r="B753">
        <v>31</v>
      </c>
      <c r="C753" t="s">
        <v>106</v>
      </c>
      <c r="D753">
        <v>2021</v>
      </c>
      <c r="E753">
        <v>44</v>
      </c>
      <c r="F753" t="s">
        <v>14</v>
      </c>
      <c r="G753" t="s">
        <v>122</v>
      </c>
      <c r="H753" t="s">
        <v>27</v>
      </c>
      <c r="I753" t="s">
        <v>45</v>
      </c>
      <c r="J753" t="s">
        <v>17</v>
      </c>
      <c r="K753" t="s">
        <v>81</v>
      </c>
      <c r="L753">
        <v>1</v>
      </c>
      <c r="M753" s="6">
        <v>713</v>
      </c>
      <c r="N753" s="6">
        <v>1120</v>
      </c>
      <c r="O753" s="6">
        <f>Table1[[#This Row],[Unit_Price]]*Table1[[#This Row],[Order_Quantity]]</f>
        <v>1120</v>
      </c>
      <c r="P753" s="6">
        <f>Table1[[#This Row],[Unit_Cost]]*Table1[[#This Row],[Order_Quantity]]</f>
        <v>713</v>
      </c>
      <c r="Q753" s="4">
        <f>Table1[[#This Row],[total sales]]-Table1[[#This Row],[total cost]]</f>
        <v>407</v>
      </c>
      <c r="R753" s="6" t="s">
        <v>136</v>
      </c>
      <c r="S753" s="6" t="str">
        <f>_xlfn.CONCAT(Table1[[#This Row],[Sub_Category]],"-",Table1[[#This Row],[bike colour]])</f>
        <v>Road Bikes-yellow</v>
      </c>
    </row>
  </sheetData>
  <sortState xmlns:xlrd2="http://schemas.microsoft.com/office/spreadsheetml/2017/richdata2" ref="A2:Q755">
    <sortCondition ref="A1:A755"/>
  </sortState>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92097-25E8-4680-ADD0-D6159DA57DD1}">
  <dimension ref="DR30"/>
  <sheetViews>
    <sheetView showGridLines="0" tabSelected="1" topLeftCell="D1" zoomScale="10" zoomScaleNormal="19" workbookViewId="0">
      <selection activeCell="FO164" sqref="FO164"/>
    </sheetView>
  </sheetViews>
  <sheetFormatPr defaultRowHeight="14.4" x14ac:dyDescent="0.3"/>
  <cols>
    <col min="25" max="25" width="8.88671875" customWidth="1"/>
  </cols>
  <sheetData>
    <row r="30" spans="122:122" x14ac:dyDescent="0.3">
      <c r="DR30" t="s">
        <v>142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cf0ffbd-cd96-4ba4-bd4f-bd34e8409846">
      <Terms xmlns="http://schemas.microsoft.com/office/infopath/2007/PartnerControls"/>
    </lcf76f155ced4ddcb4097134ff3c332f>
    <TaxCatchAll xmlns="ef7ae401-bd17-41a5-97cb-ef653218410e" xsi:nil="true"/>
    <SharedWithUsers xmlns="ef7ae401-bd17-41a5-97cb-ef653218410e">
      <UserInfo>
        <DisplayName/>
        <AccountId xsi:nil="true"/>
        <AccountType/>
      </UserInfo>
    </SharedWithUsers>
    <MediaLengthInSeconds xmlns="6cf0ffbd-cd96-4ba4-bd4f-bd34e840984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98F9F34832A35489A19D5E200F54CC8" ma:contentTypeVersion="17" ma:contentTypeDescription="Create a new document." ma:contentTypeScope="" ma:versionID="4667fbbc43b4318bb111874a548e13d5">
  <xsd:schema xmlns:xsd="http://www.w3.org/2001/XMLSchema" xmlns:xs="http://www.w3.org/2001/XMLSchema" xmlns:p="http://schemas.microsoft.com/office/2006/metadata/properties" xmlns:ns2="6cf0ffbd-cd96-4ba4-bd4f-bd34e8409846" xmlns:ns3="ef7ae401-bd17-41a5-97cb-ef653218410e" targetNamespace="http://schemas.microsoft.com/office/2006/metadata/properties" ma:root="true" ma:fieldsID="750e449e756990df47b00428a15370bb" ns2:_="" ns3:_="">
    <xsd:import namespace="6cf0ffbd-cd96-4ba4-bd4f-bd34e8409846"/>
    <xsd:import namespace="ef7ae401-bd17-41a5-97cb-ef653218410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3:TaxCatchAll"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f0ffbd-cd96-4ba4-bd4f-bd34e84098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7ae401-bd17-41a5-97cb-ef653218410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aefe5af-a435-4393-a14b-6f721e236a53}" ma:internalName="TaxCatchAll" ma:showField="CatchAllData" ma:web="ef7ae401-bd17-41a5-97cb-ef65321841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CF564F-6B15-42F4-AEFB-2DE8873F5922}">
  <ds:schemaRefs>
    <ds:schemaRef ds:uri="http://schemas.microsoft.com/office/2006/metadata/properties"/>
    <ds:schemaRef ds:uri="http://schemas.microsoft.com/office/infopath/2007/PartnerControls"/>
    <ds:schemaRef ds:uri="6cf0ffbd-cd96-4ba4-bd4f-bd34e8409846"/>
    <ds:schemaRef ds:uri="ef7ae401-bd17-41a5-97cb-ef653218410e"/>
  </ds:schemaRefs>
</ds:datastoreItem>
</file>

<file path=customXml/itemProps2.xml><?xml version="1.0" encoding="utf-8"?>
<ds:datastoreItem xmlns:ds="http://schemas.openxmlformats.org/officeDocument/2006/customXml" ds:itemID="{7242AA92-E566-4AF8-94A8-2BEC20A47D3F}">
  <ds:schemaRefs>
    <ds:schemaRef ds:uri="http://schemas.microsoft.com/sharepoint/v3/contenttype/forms"/>
  </ds:schemaRefs>
</ds:datastoreItem>
</file>

<file path=customXml/itemProps3.xml><?xml version="1.0" encoding="utf-8"?>
<ds:datastoreItem xmlns:ds="http://schemas.openxmlformats.org/officeDocument/2006/customXml" ds:itemID="{A900DD95-F73B-4B39-8857-9098CC047F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f0ffbd-cd96-4ba4-bd4f-bd34e8409846"/>
    <ds:schemaRef ds:uri="ef7ae401-bd17-41a5-97cb-ef65321841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Sheet5</vt:lpstr>
      <vt:lpstr>Sheet6</vt:lpstr>
      <vt:lpstr>Sheet9</vt:lpstr>
      <vt:lpstr>Sheet7</vt:lpstr>
      <vt:lpstr>Sales Data</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Pickard, John</dc:creator>
  <cp:keywords/>
  <dc:description/>
  <cp:lastModifiedBy>noha ahmed</cp:lastModifiedBy>
  <cp:revision/>
  <dcterms:created xsi:type="dcterms:W3CDTF">2022-06-17T21:28:41Z</dcterms:created>
  <dcterms:modified xsi:type="dcterms:W3CDTF">2024-06-13T18:48:58Z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0x010100198F9F34832A35489A19D5E200F54CC8</vt:lpwstr>
  </property>
  <property fmtid="{D5CDD505-2E9C-101B-9397-08002B2CF9AE}" pid="3" name="Order">
    <vt:r8>2366100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